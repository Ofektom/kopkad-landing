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My Money Map" sheetId="2" state="visible" r:id="rId2"/>
    <sheet xmlns:r="http://schemas.openxmlformats.org/officeDocument/2006/relationships" name="Example" sheetId="3" state="visible" r:id="rId3"/>
  </sheets>
  <definedNames/>
  <calcPr calcId="124519" fullCalcOnLoad="1"/>
</workbook>
</file>

<file path=xl/styles.xml><?xml version="1.0" encoding="utf-8"?>
<styleSheet xmlns="http://schemas.openxmlformats.org/spreadsheetml/2006/main">
  <numFmts count="2">
    <numFmt numFmtId="164" formatCode="&quot;₦&quot;#,##0;[Red]-&quot;₦&quot;#,##0"/>
    <numFmt numFmtId="165" formatCode="0.0"/>
  </numFmts>
  <fonts count="15">
    <font>
      <name val="Calibri"/>
      <family val="2"/>
      <color theme="1"/>
      <sz val="11"/>
      <scheme val="minor"/>
    </font>
    <font>
      <b val="1"/>
      <color rgb="0010302A"/>
      <sz val="18"/>
    </font>
    <font>
      <b val="1"/>
      <color rgb="0010302A"/>
      <sz val="13"/>
    </font>
    <font>
      <color rgb="004C6A62"/>
      <sz val="9"/>
    </font>
    <font>
      <b val="1"/>
      <color rgb="00D9822B"/>
    </font>
    <font>
      <i val="1"/>
      <color rgb="004C6A62"/>
    </font>
    <font>
      <b val="1"/>
      <color rgb="00FFFFFF"/>
      <sz val="12"/>
    </font>
    <font>
      <i val="1"/>
      <color rgb="009AA8A3"/>
    </font>
    <font>
      <color rgb="004C6A62"/>
    </font>
    <font>
      <b val="1"/>
    </font>
    <font>
      <b val="1"/>
      <sz val="13"/>
    </font>
    <font>
      <b val="1"/>
      <color rgb="00D9822B"/>
      <sz val="13"/>
    </font>
    <font>
      <b val="1"/>
      <color rgb="00D9822B"/>
      <sz val="10"/>
    </font>
    <font>
      <b val="1"/>
      <color rgb="00FFFFFF"/>
      <sz val="18"/>
    </font>
    <font>
      <b val="1"/>
      <i val="1"/>
      <color rgb="00D9822B"/>
    </font>
  </fonts>
  <fills count="6">
    <fill>
      <patternFill/>
    </fill>
    <fill>
      <patternFill patternType="gray125"/>
    </fill>
    <fill>
      <patternFill patternType="solid">
        <fgColor rgb="0010302A"/>
      </patternFill>
    </fill>
    <fill>
      <patternFill patternType="solid">
        <fgColor rgb="00FFF4CC"/>
      </patternFill>
    </fill>
    <fill>
      <patternFill patternType="solid">
        <fgColor rgb="00EEF2EA"/>
      </patternFill>
    </fill>
    <fill>
      <patternFill patternType="solid">
        <fgColor rgb="00D9822B"/>
      </patternFill>
    </fill>
  </fills>
  <borders count="1">
    <border>
      <left/>
      <right/>
      <top/>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2" borderId="0" pivotButton="0" quotePrefix="0" xfId="0"/>
    <xf numFmtId="0" fontId="0" fillId="2" borderId="0" pivotButton="0" quotePrefix="0" xfId="0"/>
    <xf numFmtId="164" fontId="7" fillId="3" borderId="0" pivotButton="0" quotePrefix="0" xfId="0"/>
    <xf numFmtId="0" fontId="8" fillId="0" borderId="0" pivotButton="0" quotePrefix="0" xfId="0"/>
    <xf numFmtId="0" fontId="9" fillId="0" borderId="0" pivotButton="0" quotePrefix="0" xfId="0"/>
    <xf numFmtId="164" fontId="9" fillId="0" borderId="0" pivotButton="0" quotePrefix="0" xfId="0"/>
    <xf numFmtId="9" fontId="9" fillId="0" borderId="0" pivotButton="0" quotePrefix="0" xfId="0"/>
    <xf numFmtId="0" fontId="10" fillId="4" borderId="0" pivotButton="0" quotePrefix="0" xfId="0"/>
    <xf numFmtId="164" fontId="11" fillId="4" borderId="0" pivotButton="0" quotePrefix="0" xfId="0"/>
    <xf numFmtId="0" fontId="8" fillId="4" borderId="0" pivotButton="0" quotePrefix="0" xfId="0"/>
    <xf numFmtId="165" fontId="9" fillId="0" borderId="0" pivotButton="0" quotePrefix="0" xfId="0"/>
    <xf numFmtId="0" fontId="3" fillId="0" borderId="0" pivotButton="0" quotePrefix="0" xfId="0"/>
    <xf numFmtId="0" fontId="12" fillId="0" borderId="0" pivotButton="0" quotePrefix="0" xfId="0"/>
    <xf numFmtId="0" fontId="13" fillId="5" borderId="0" pivotButton="0" quotePrefix="0" xfId="0"/>
    <xf numFmtId="0" fontId="0" fillId="5" borderId="0" pivotButton="0" quotePrefix="0" xfId="0"/>
    <xf numFmtId="0" fontId="14" fillId="0" borderId="0" pivotButton="0" quotePrefix="0" xfId="0"/>
    <xf numFmtId="164" fontId="0" fillId="3" borderId="0" pivotButton="0" quotePrefix="0" xfId="0"/>
  </cellXfs>
  <cellStyles count="1">
    <cellStyle name="Normal" xfId="0" builtinId="0" hidden="0"/>
  </cellStyles>
  <dxfs count="1">
    <dxf>
      <font>
        <color rgb="000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30"/>
  <sheetViews>
    <sheetView workbookViewId="0">
      <selection activeCell="A1" sqref="A1"/>
    </sheetView>
  </sheetViews>
  <sheetFormatPr baseColWidth="8" defaultRowHeight="15"/>
  <cols>
    <col width="4" customWidth="1" min="1" max="1"/>
    <col width="100" customWidth="1" min="2" max="2"/>
  </cols>
  <sheetData>
    <row r="1">
      <c r="B1" s="1" t="inlineStr">
        <is>
          <t>Money Map: start here</t>
        </is>
      </c>
    </row>
    <row r="4">
      <c r="B4" s="2" t="inlineStr">
        <is>
          <t>What this does</t>
        </is>
      </c>
    </row>
    <row r="5" ht="45" customHeight="1">
      <c r="B5" s="3" t="inlineStr">
        <is>
          <t>Your Money Map shows where you stand on one page: what comes in each month, what goes out, what is left, what you own, what you owe and your net worth. Type your numbers and it does all the adding up for you.</t>
        </is>
      </c>
    </row>
    <row r="7">
      <c r="B7" s="2" t="inlineStr">
        <is>
          <t>How to use it (about 20 minutes)</t>
        </is>
      </c>
    </row>
    <row r="8" ht="15" customHeight="1">
      <c r="B8" s="3" t="inlineStr">
        <is>
          <t>1. Open the "My Money Map" tab (at the bottom of the screen on a phone).</t>
        </is>
      </c>
    </row>
    <row r="9" ht="15" customHeight="1">
      <c r="B9" s="3" t="inlineStr">
        <is>
          <t>2. Open your bank and mobile money apps and look at the last 30 days.</t>
        </is>
      </c>
    </row>
    <row r="10" ht="15" customHeight="1">
      <c r="B10" s="3" t="inlineStr">
        <is>
          <t>3. Section 1, money in: what reached you last month, after deductions.</t>
        </is>
      </c>
    </row>
    <row r="11" ht="15" customHeight="1">
      <c r="B11" s="3" t="inlineStr">
        <is>
          <t>4. Section 2, money out: what you spent in each category. For yearly bills, divide by 12.</t>
        </is>
      </c>
    </row>
    <row r="12" ht="15" customHeight="1">
      <c r="B12" s="3" t="inlineStr">
        <is>
          <t>5. Section 3 shows your surplus and savings rate straight away.</t>
        </is>
      </c>
    </row>
    <row r="13" ht="15" customHeight="1">
      <c r="B13" s="3" t="inlineStr">
        <is>
          <t>6. Sections 4 and 5: what you own at today's value, and the balance left on every debt.</t>
        </is>
      </c>
    </row>
    <row r="14" ht="15" customHeight="1">
      <c r="B14" s="3" t="inlineStr">
        <is>
          <t>7. Section 6 shows your net worth and how many months your savings would last.</t>
        </is>
      </c>
    </row>
    <row r="15" ht="15" customHeight="1">
      <c r="B15" s="3" t="inlineStr">
        <is>
          <t>8. Do it again in 3 months and compare.</t>
        </is>
      </c>
    </row>
    <row r="17">
      <c r="B17" s="2" t="inlineStr">
        <is>
          <t>The gray words in yellow cells are hints</t>
        </is>
      </c>
    </row>
    <row r="18" ht="60" customHeight="1">
      <c r="B18" s="3" t="inlineStr">
        <is>
          <t>Each yellow cell shows a gray hint such as "e.g. 250,000". It is only a hint: it doesn't count. Tap the cell and type your own number over it; your number turns black and the totals update. Leave the hint in any cell that doesn't apply to you. Tap a cell to see a short instruction for it.</t>
        </is>
      </c>
    </row>
    <row r="20">
      <c r="B20" s="2" t="inlineStr">
        <is>
          <t>Want to see a finished one first?</t>
        </is>
      </c>
    </row>
    <row r="21" ht="15" customHeight="1">
      <c r="B21" s="3" t="inlineStr">
        <is>
          <t>Open the "Example" tab. It shows a filled-in Money Map.</t>
        </is>
      </c>
    </row>
    <row r="23">
      <c r="B23" s="2" t="inlineStr">
        <is>
          <t>On a phone</t>
        </is>
      </c>
    </row>
    <row r="24" ht="30" customHeight="1">
      <c r="B24" s="3" t="inlineStr">
        <is>
          <t>Open the file with the free Google Sheets or Microsoft Excel app. In Google Sheets, tap File &gt; Make a copy (or Save as Google Sheets) so you can edit it and keep it.</t>
        </is>
      </c>
    </row>
    <row r="26">
      <c r="B26" s="2" t="inlineStr">
        <is>
          <t>Your privacy</t>
        </is>
      </c>
    </row>
    <row r="27" ht="30" customHeight="1">
      <c r="B27" s="3" t="inlineStr">
        <is>
          <t>This file stays on your phone or computer. Nobody else sees your numbers, and you never need to send them to anyone.</t>
        </is>
      </c>
    </row>
    <row r="28">
      <c r="B28" s="4" t="inlineStr">
        <is>
          <t>From the free Financial Intelligence class: kopkad.ng/blog. For educational purposes only. This is not financial advice.</t>
        </is>
      </c>
    </row>
    <row r="30">
      <c r="B30" s="5" t="inlineStr">
        <is>
          <t>With Snowball, we keep it rolling.</t>
        </is>
      </c>
    </row>
  </sheetData>
  <pageMargins left="0.75" right="0.75" top="1" bottom="1" header="0.5" footer="0.5"/>
</worksheet>
</file>

<file path=xl/worksheets/sheet2.xml><?xml version="1.0" encoding="utf-8"?>
<worksheet xmlns="http://schemas.openxmlformats.org/spreadsheetml/2006/main">
  <sheetPr>
    <tabColor rgb="0010302A"/>
    <outlinePr summaryBelow="1" summaryRight="1"/>
    <pageSetUpPr/>
  </sheetPr>
  <dimension ref="A1:C49"/>
  <sheetViews>
    <sheetView workbookViewId="0">
      <pane ySplit="3" topLeftCell="A4" activePane="bottomLeft" state="frozen"/>
      <selection pane="bottomLeft" activeCell="A1" sqref="A1"/>
    </sheetView>
  </sheetViews>
  <sheetFormatPr baseColWidth="8" defaultRowHeight="15"/>
  <cols>
    <col width="36" customWidth="1" min="1" max="1"/>
    <col width="18" customWidth="1" min="2" max="2"/>
    <col width="48" customWidth="1" min="3" max="3"/>
  </cols>
  <sheetData>
    <row r="1">
      <c r="A1" s="1" t="inlineStr">
        <is>
          <t>My Money Map</t>
        </is>
      </c>
    </row>
    <row r="2">
      <c r="A2" s="6" t="inlineStr">
        <is>
          <t>Type your own numbers over the gray hints in the yellow cells. Everything else works itself out.</t>
        </is>
      </c>
    </row>
    <row r="4">
      <c r="A4" s="7" t="inlineStr">
        <is>
          <t>1. Money in (monthly, after deductions)</t>
        </is>
      </c>
      <c r="B4" s="8" t="n"/>
      <c r="C4" s="8" t="n"/>
    </row>
    <row r="5">
      <c r="A5" t="inlineStr">
        <is>
          <t>Salary / wages (take-home)</t>
        </is>
      </c>
      <c r="B5" s="9" t="inlineStr">
        <is>
          <t>e.g. 250,000</t>
        </is>
      </c>
      <c r="C5" s="10" t="inlineStr">
        <is>
          <t>After PAYE tax, pension and other deductions</t>
        </is>
      </c>
    </row>
    <row r="6">
      <c r="A6" t="inlineStr">
        <is>
          <t>Business or side income</t>
        </is>
      </c>
      <c r="B6" s="9" t="inlineStr">
        <is>
          <t>e.g. 40,000</t>
        </is>
      </c>
      <c r="C6" s="10" t="inlineStr">
        <is>
          <t>Average of the last 3 months if it changes</t>
        </is>
      </c>
    </row>
    <row r="7">
      <c r="A7" t="inlineStr">
        <is>
          <t>Investment income</t>
        </is>
      </c>
      <c r="B7" s="9" t="inlineStr">
        <is>
          <t>e.g. 5,000</t>
        </is>
      </c>
      <c r="C7" s="10" t="inlineStr">
        <is>
          <t>Interest, rent, dividends</t>
        </is>
      </c>
    </row>
    <row r="8">
      <c r="A8" t="inlineStr">
        <is>
          <t>Other income</t>
        </is>
      </c>
      <c r="B8" s="9" t="inlineStr">
        <is>
          <t>e.g. 20,000</t>
        </is>
      </c>
      <c r="C8" s="10" t="inlineStr">
        <is>
          <t>Family support, allowances, grants</t>
        </is>
      </c>
    </row>
    <row r="9">
      <c r="A9" s="11" t="inlineStr">
        <is>
          <t>Total money in</t>
        </is>
      </c>
      <c r="B9" s="12">
        <f>SUM(B5:B8)</f>
        <v/>
      </c>
    </row>
    <row r="11">
      <c r="A11" s="7" t="inlineStr">
        <is>
          <t>2. Money out (monthly)</t>
        </is>
      </c>
      <c r="B11" s="8" t="n"/>
      <c r="C11" s="8" t="n"/>
    </row>
    <row r="12">
      <c r="A12" t="inlineStr">
        <is>
          <t>Rent / housing</t>
        </is>
      </c>
      <c r="B12" s="9" t="inlineStr">
        <is>
          <t>e.g. 50,000</t>
        </is>
      </c>
      <c r="C12" s="10" t="inlineStr">
        <is>
          <t>Yearly rent ÷ 12</t>
        </is>
      </c>
    </row>
    <row r="13">
      <c r="A13" t="inlineStr">
        <is>
          <t>Food and groceries</t>
        </is>
      </c>
      <c r="B13" s="9" t="inlineStr">
        <is>
          <t>e.g. 70,000</t>
        </is>
      </c>
    </row>
    <row r="14">
      <c r="A14" t="inlineStr">
        <is>
          <t>Transport</t>
        </is>
      </c>
      <c r="B14" s="9" t="inlineStr">
        <is>
          <t>e.g. 30,000</t>
        </is>
      </c>
    </row>
    <row r="15">
      <c r="A15" t="inlineStr">
        <is>
          <t>Data, airtime, subscriptions</t>
        </is>
      </c>
      <c r="B15" s="9" t="inlineStr">
        <is>
          <t>e.g. 12,000</t>
        </is>
      </c>
    </row>
    <row r="16">
      <c r="A16" t="inlineStr">
        <is>
          <t>Family support and giving</t>
        </is>
      </c>
      <c r="B16" s="9" t="inlineStr">
        <is>
          <t>e.g. 20,000</t>
        </is>
      </c>
    </row>
    <row r="17">
      <c r="A17" t="inlineStr">
        <is>
          <t>Loan repayments</t>
        </is>
      </c>
      <c r="B17" s="9" t="inlineStr">
        <is>
          <t>e.g. 15,000</t>
        </is>
      </c>
      <c r="C17" s="10" t="inlineStr">
        <is>
          <t>Include loan apps and money owed to family</t>
        </is>
      </c>
    </row>
    <row r="18">
      <c r="A18" t="inlineStr">
        <is>
          <t>School fees (monthly share)</t>
        </is>
      </c>
      <c r="B18" s="9" t="inlineStr">
        <is>
          <t>e.g. 15,000</t>
        </is>
      </c>
      <c r="C18" s="10" t="inlineStr">
        <is>
          <t>Yearly fees ÷ 12</t>
        </is>
      </c>
    </row>
    <row r="19">
      <c r="A19" t="inlineStr">
        <is>
          <t>Fun, eating out, treats</t>
        </is>
      </c>
      <c r="B19" s="9" t="inlineStr">
        <is>
          <t>e.g. 15,000</t>
        </is>
      </c>
    </row>
    <row r="20">
      <c r="A20" t="inlineStr">
        <is>
          <t>Other</t>
        </is>
      </c>
      <c r="B20" s="9" t="inlineStr">
        <is>
          <t>e.g. 10,000</t>
        </is>
      </c>
    </row>
    <row r="21">
      <c r="A21" s="11" t="inlineStr">
        <is>
          <t>Total money out</t>
        </is>
      </c>
      <c r="B21" s="12">
        <f>SUM(B12:B20)</f>
        <v/>
      </c>
    </row>
    <row r="23">
      <c r="A23" s="7" t="inlineStr">
        <is>
          <t>3. Your monthly surplus</t>
        </is>
      </c>
      <c r="B23" s="8" t="n"/>
      <c r="C23" s="8" t="n"/>
    </row>
    <row r="24">
      <c r="A24" s="11" t="inlineStr">
        <is>
          <t>Surplus (money in − money out)</t>
        </is>
      </c>
      <c r="B24" s="12">
        <f>B9-B21</f>
        <v/>
      </c>
      <c r="C24" s="10" t="inlineStr">
        <is>
          <t>Positive: you can save this much. Negative: you are spending more than comes in.</t>
        </is>
      </c>
    </row>
    <row r="25">
      <c r="A25" s="11" t="inlineStr">
        <is>
          <t>Savings rate</t>
        </is>
      </c>
      <c r="B25" s="13">
        <f>IF(B9=0,0,B24/B9)</f>
        <v/>
      </c>
      <c r="C25" s="10" t="inlineStr">
        <is>
          <t>Aim for at least 20% over time.</t>
        </is>
      </c>
    </row>
    <row r="27">
      <c r="A27" s="7" t="inlineStr">
        <is>
          <t>4. What you own (assets)</t>
        </is>
      </c>
      <c r="B27" s="8" t="n"/>
      <c r="C27" s="8" t="n"/>
    </row>
    <row r="28">
      <c r="A28" t="inlineStr">
        <is>
          <t>Cash and bank savings</t>
        </is>
      </c>
      <c r="B28" s="9" t="inlineStr">
        <is>
          <t>e.g. 180,000</t>
        </is>
      </c>
    </row>
    <row r="29">
      <c r="A29" t="inlineStr">
        <is>
          <t>Investments (T-bills, shares, funds)</t>
        </is>
      </c>
      <c r="B29" s="9" t="inlineStr">
        <is>
          <t>leave if none</t>
        </is>
      </c>
    </row>
    <row r="30">
      <c r="A30" t="inlineStr">
        <is>
          <t>Business stock and equipment</t>
        </is>
      </c>
      <c r="B30" s="9" t="inlineStr">
        <is>
          <t>e.g. 100,000</t>
        </is>
      </c>
    </row>
    <row r="31">
      <c r="A31" t="inlineStr">
        <is>
          <t>Land / property (what you paid)</t>
        </is>
      </c>
      <c r="B31" s="9" t="inlineStr">
        <is>
          <t>leave if none</t>
        </is>
      </c>
      <c r="C31" s="10" t="inlineStr">
        <is>
          <t>Use the price you paid, not a hopeful value</t>
        </is>
      </c>
    </row>
    <row r="32">
      <c r="A32" t="inlineStr">
        <is>
          <t>Other valuables you could sell</t>
        </is>
      </c>
      <c r="B32" s="9" t="inlineStr">
        <is>
          <t>e.g. 50,000</t>
        </is>
      </c>
    </row>
    <row r="33">
      <c r="A33" s="11" t="inlineStr">
        <is>
          <t>Total assets</t>
        </is>
      </c>
      <c r="B33" s="12">
        <f>SUM(B28:B32)</f>
        <v/>
      </c>
    </row>
    <row r="35">
      <c r="A35" s="7" t="inlineStr">
        <is>
          <t>5. What you owe (liabilities)</t>
        </is>
      </c>
      <c r="B35" s="8" t="n"/>
      <c r="C35" s="8" t="n"/>
    </row>
    <row r="36">
      <c r="A36" t="inlineStr">
        <is>
          <t>Bank loans</t>
        </is>
      </c>
      <c r="B36" s="9" t="inlineStr">
        <is>
          <t>leave if none</t>
        </is>
      </c>
      <c r="C36" s="10" t="inlineStr">
        <is>
          <t>Balance left, not the original loan</t>
        </is>
      </c>
    </row>
    <row r="37">
      <c r="A37" t="inlineStr">
        <is>
          <t>Loan apps</t>
        </is>
      </c>
      <c r="B37" s="9" t="inlineStr">
        <is>
          <t>e.g. 45,000</t>
        </is>
      </c>
    </row>
    <row r="38">
      <c r="A38" t="inlineStr">
        <is>
          <t>Money owed to family / friends</t>
        </is>
      </c>
      <c r="B38" s="9" t="inlineStr">
        <is>
          <t>e.g. 30,000</t>
        </is>
      </c>
    </row>
    <row r="39">
      <c r="A39" t="inlineStr">
        <is>
          <t>Unpaid bills or credit from traders</t>
        </is>
      </c>
      <c r="B39" s="9" t="inlineStr">
        <is>
          <t>leave if none</t>
        </is>
      </c>
    </row>
    <row r="40">
      <c r="A40" t="inlineStr">
        <is>
          <t>Other debts</t>
        </is>
      </c>
      <c r="B40" s="9" t="inlineStr">
        <is>
          <t>leave if none</t>
        </is>
      </c>
    </row>
    <row r="41">
      <c r="A41" s="11" t="inlineStr">
        <is>
          <t>Total liabilities</t>
        </is>
      </c>
      <c r="B41" s="12">
        <f>SUM(B36:B40)</f>
        <v/>
      </c>
    </row>
    <row r="43">
      <c r="A43" s="7" t="inlineStr">
        <is>
          <t>6. Your net worth</t>
        </is>
      </c>
      <c r="B43" s="8" t="n"/>
      <c r="C43" s="8" t="n"/>
    </row>
    <row r="44">
      <c r="A44" s="14" t="inlineStr">
        <is>
          <t>Net worth (assets − liabilities)</t>
        </is>
      </c>
      <c r="B44" s="15">
        <f>B33-B41</f>
        <v/>
      </c>
      <c r="C44" s="16" t="inlineStr">
        <is>
          <t>Your real scoreboard. Update it every 3 months.</t>
        </is>
      </c>
    </row>
    <row r="45">
      <c r="A45" s="11" t="inlineStr">
        <is>
          <t>Months your savings would last</t>
        </is>
      </c>
      <c r="B45" s="17">
        <f>IF(B21=0,0,N(B28)/B21)</f>
        <v/>
      </c>
      <c r="C45" s="10" t="inlineStr">
        <is>
          <t>Cash and bank savings ÷ monthly money out. Aim for 3, then 6.</t>
        </is>
      </c>
    </row>
    <row r="47">
      <c r="A47" s="18" t="inlineStr">
        <is>
          <t>Want this to update itself as you spend? Kopkad tracks it for you: app.kopkad.ng</t>
        </is>
      </c>
    </row>
    <row r="48">
      <c r="A48" s="18" t="inlineStr">
        <is>
          <t>For educational purposes only. This is not financial advice.</t>
        </is>
      </c>
    </row>
    <row r="49">
      <c r="A49" s="19" t="inlineStr">
        <is>
          <t>With Snowball, we keep it rolling.</t>
        </is>
      </c>
    </row>
  </sheetData>
  <conditionalFormatting sqref="B5">
    <cfRule type="expression" priority="1" dxfId="0">
      <formula>ISNUMBER(B5)</formula>
    </cfRule>
  </conditionalFormatting>
  <conditionalFormatting sqref="B6">
    <cfRule type="expression" priority="2" dxfId="0">
      <formula>ISNUMBER(B6)</formula>
    </cfRule>
  </conditionalFormatting>
  <conditionalFormatting sqref="B7">
    <cfRule type="expression" priority="3" dxfId="0">
      <formula>ISNUMBER(B7)</formula>
    </cfRule>
  </conditionalFormatting>
  <conditionalFormatting sqref="B8">
    <cfRule type="expression" priority="4" dxfId="0">
      <formula>ISNUMBER(B8)</formula>
    </cfRule>
  </conditionalFormatting>
  <conditionalFormatting sqref="B12">
    <cfRule type="expression" priority="5" dxfId="0">
      <formula>ISNUMBER(B12)</formula>
    </cfRule>
  </conditionalFormatting>
  <conditionalFormatting sqref="B13">
    <cfRule type="expression" priority="6" dxfId="0">
      <formula>ISNUMBER(B13)</formula>
    </cfRule>
  </conditionalFormatting>
  <conditionalFormatting sqref="B14">
    <cfRule type="expression" priority="7" dxfId="0">
      <formula>ISNUMBER(B14)</formula>
    </cfRule>
  </conditionalFormatting>
  <conditionalFormatting sqref="B15">
    <cfRule type="expression" priority="8" dxfId="0">
      <formula>ISNUMBER(B15)</formula>
    </cfRule>
  </conditionalFormatting>
  <conditionalFormatting sqref="B16">
    <cfRule type="expression" priority="9" dxfId="0">
      <formula>ISNUMBER(B16)</formula>
    </cfRule>
  </conditionalFormatting>
  <conditionalFormatting sqref="B17">
    <cfRule type="expression" priority="10" dxfId="0">
      <formula>ISNUMBER(B17)</formula>
    </cfRule>
  </conditionalFormatting>
  <conditionalFormatting sqref="B18">
    <cfRule type="expression" priority="11" dxfId="0">
      <formula>ISNUMBER(B18)</formula>
    </cfRule>
  </conditionalFormatting>
  <conditionalFormatting sqref="B19">
    <cfRule type="expression" priority="12" dxfId="0">
      <formula>ISNUMBER(B19)</formula>
    </cfRule>
  </conditionalFormatting>
  <conditionalFormatting sqref="B20">
    <cfRule type="expression" priority="13" dxfId="0">
      <formula>ISNUMBER(B20)</formula>
    </cfRule>
  </conditionalFormatting>
  <conditionalFormatting sqref="B28">
    <cfRule type="expression" priority="14" dxfId="0">
      <formula>ISNUMBER(B28)</formula>
    </cfRule>
  </conditionalFormatting>
  <conditionalFormatting sqref="B29">
    <cfRule type="expression" priority="15" dxfId="0">
      <formula>ISNUMBER(B29)</formula>
    </cfRule>
  </conditionalFormatting>
  <conditionalFormatting sqref="B30">
    <cfRule type="expression" priority="16" dxfId="0">
      <formula>ISNUMBER(B30)</formula>
    </cfRule>
  </conditionalFormatting>
  <conditionalFormatting sqref="B31">
    <cfRule type="expression" priority="17" dxfId="0">
      <formula>ISNUMBER(B31)</formula>
    </cfRule>
  </conditionalFormatting>
  <conditionalFormatting sqref="B32">
    <cfRule type="expression" priority="18" dxfId="0">
      <formula>ISNUMBER(B32)</formula>
    </cfRule>
  </conditionalFormatting>
  <conditionalFormatting sqref="B36">
    <cfRule type="expression" priority="19" dxfId="0">
      <formula>ISNUMBER(B36)</formula>
    </cfRule>
  </conditionalFormatting>
  <conditionalFormatting sqref="B37">
    <cfRule type="expression" priority="20" dxfId="0">
      <formula>ISNUMBER(B37)</formula>
    </cfRule>
  </conditionalFormatting>
  <conditionalFormatting sqref="B38">
    <cfRule type="expression" priority="21" dxfId="0">
      <formula>ISNUMBER(B38)</formula>
    </cfRule>
  </conditionalFormatting>
  <conditionalFormatting sqref="B39">
    <cfRule type="expression" priority="22" dxfId="0">
      <formula>ISNUMBER(B39)</formula>
    </cfRule>
  </conditionalFormatting>
  <conditionalFormatting sqref="B40">
    <cfRule type="expression" priority="23" dxfId="0">
      <formula>ISNUMBER(B40)</formula>
    </cfRule>
  </conditionalFormatting>
  <dataValidations count="23">
    <dataValidation sqref="B5" showDropDown="0" showInputMessage="1" showErrorMessage="0" allowBlank="1" promptTitle="Salary / wages (take-home)" prompt="What reached your account last month from your job, after deductions."/>
    <dataValidation sqref="B6" showDropDown="0" showInputMessage="1" showErrorMessage="0" allowBlank="1" promptTitle="Business or side income" prompt="Profit from your trade or side work. If it changes, use the average of the last 3 months."/>
    <dataValidation sqref="B7" showDropDown="0" showInputMessage="1" showErrorMessage="0" allowBlank="1" promptTitle="Investment income" prompt="Interest on savings, rent you receive, dividends."/>
    <dataValidation sqref="B8" showDropDown="0" showInputMessage="1" showErrorMessage="0" allowBlank="1" promptTitle="Other income" prompt="Support from family, allowances, grants, an ajo payout."/>
    <dataValidation sqref="B12" showDropDown="0" showInputMessage="1" showErrorMessage="0" allowBlank="1" promptTitle="Rent / housing" prompt="Your monthly share of rent. If you pay yearly, divide by 12."/>
    <dataValidation sqref="B13" showDropDown="0" showInputMessage="1" showErrorMessage="0" allowBlank="1" promptTitle="Food and groceries" prompt="Market, supermarket and cooking gas for the month."/>
    <dataValidation sqref="B14" showDropDown="0" showInputMessage="1" showErrorMessage="0" allowBlank="1" promptTitle="Transport" prompt="Bus, rides, fuel, keke and okada for the month."/>
    <dataValidation sqref="B15" showDropDown="0" showInputMessage="1" showErrorMessage="0" allowBlank="1" promptTitle="Data, airtime, subscriptions" prompt="All top-ups and plans, plus TV and streaming."/>
    <dataValidation sqref="B16" showDropDown="0" showInputMessage="1" showErrorMessage="0" allowBlank="1" promptTitle="Family support and giving" prompt="Money sent to family, offerings, contributions."/>
    <dataValidation sqref="B17" showDropDown="0" showInputMessage="1" showErrorMessage="0" allowBlank="1" promptTitle="Loan repayments" prompt="What you repaid on every loan last month."/>
    <dataValidation sqref="B18" showDropDown="0" showInputMessage="1" showErrorMessage="0" allowBlank="1" promptTitle="School fees (monthly share)" prompt="Yearly or termly fees turned into a monthly figure."/>
    <dataValidation sqref="B19" showDropDown="0" showInputMessage="1" showErrorMessage="0" allowBlank="1" promptTitle="Fun, eating out, treats" prompt="Eating out, drinks, outings, small treats."/>
    <dataValidation sqref="B20" showDropDown="0" showInputMessage="1" showErrorMessage="0" allowBlank="1" promptTitle="Other" prompt="Anything else: clothes, hair, repairs, events."/>
    <dataValidation sqref="B28" showDropDown="0" showInputMessage="1" showErrorMessage="0" allowBlank="1" promptTitle="Cash and bank savings" prompt="Bank and mobile money balances today, plus savings you can reach."/>
    <dataValidation sqref="B29" showDropDown="0" showInputMessage="1" showErrorMessage="0" allowBlank="1" promptTitle="Investments (T-bills, shares, fu" prompt="Current value of any investments."/>
    <dataValidation sqref="B30" showDropDown="0" showInputMessage="1" showErrorMessage="0" allowBlank="1" promptTitle="Business stock and equipment" prompt="What your stock and tools would sell for today."/>
    <dataValidation sqref="B31" showDropDown="0" showInputMessage="1" showErrorMessage="0" allowBlank="1" promptTitle="Land / property (what you paid)" prompt="The price you paid."/>
    <dataValidation sqref="B32" showDropDown="0" showInputMessage="1" showErrorMessage="0" allowBlank="1" promptTitle="Other valuables you could sell" prompt="Phone, laptop, car or gold at what they would sell for today."/>
    <dataValidation sqref="B36" showDropDown="0" showInputMessage="1" showErrorMessage="0" allowBlank="1" promptTitle="Bank loans" prompt="The amount still left to pay."/>
    <dataValidation sqref="B37" showDropDown="0" showInputMessage="1" showErrorMessage="0" allowBlank="1" promptTitle="Loan apps" prompt="What the app says you owe today, including fees."/>
    <dataValidation sqref="B38" showDropDown="0" showInputMessage="1" showErrorMessage="0" allowBlank="1" promptTitle="Money owed to family / friends" prompt="Count it even if there is no interest."/>
    <dataValidation sqref="B39" showDropDown="0" showInputMessage="1" showErrorMessage="0" allowBlank="1" promptTitle="Unpaid bills or credit from trad" prompt="Goods on credit, overdue bills."/>
    <dataValidation sqref="B40" showDropDown="0" showInputMessage="1" showErrorMessage="0" allowBlank="1" promptTitle="Other debts" prompt="Instalments, salary advances, anything else you owe."/>
  </dataValidations>
  <pageMargins left="0.75" right="0.75" top="1" bottom="1" header="0.5" footer="0.5"/>
</worksheet>
</file>

<file path=xl/worksheets/sheet3.xml><?xml version="1.0" encoding="utf-8"?>
<worksheet xmlns="http://schemas.openxmlformats.org/spreadsheetml/2006/main">
  <sheetPr>
    <tabColor rgb="00D9822B"/>
    <outlinePr summaryBelow="1" summaryRight="1"/>
    <pageSetUpPr/>
  </sheetPr>
  <dimension ref="A1:C49"/>
  <sheetViews>
    <sheetView workbookViewId="0">
      <pane ySplit="3" topLeftCell="A4" activePane="bottomLeft" state="frozen"/>
      <selection pane="bottomLeft" activeCell="A1" sqref="A1"/>
    </sheetView>
  </sheetViews>
  <sheetFormatPr baseColWidth="8" defaultRowHeight="15"/>
  <cols>
    <col width="36" customWidth="1" min="1" max="1"/>
    <col width="18" customWidth="1" min="2" max="2"/>
    <col width="48" customWidth="1" min="3" max="3"/>
  </cols>
  <sheetData>
    <row r="1">
      <c r="A1" s="20" t="inlineStr">
        <is>
          <t>EXAMPLE: a filled-in Money Map</t>
        </is>
      </c>
      <c r="B1" s="21" t="n"/>
      <c r="C1" s="21" t="n"/>
    </row>
    <row r="2">
      <c r="A2" s="22" t="inlineStr">
        <is>
          <t>This shows what a finished Money Map looks like. Fill in your own on the "My Money Map" tab.</t>
        </is>
      </c>
    </row>
    <row r="4">
      <c r="A4" s="7" t="inlineStr">
        <is>
          <t>1. Money in (monthly, after deductions)</t>
        </is>
      </c>
      <c r="B4" s="8" t="n"/>
      <c r="C4" s="8" t="n"/>
    </row>
    <row r="5">
      <c r="A5" t="inlineStr">
        <is>
          <t>Salary / wages (take-home)</t>
        </is>
      </c>
      <c r="B5" s="23" t="n">
        <v>250000</v>
      </c>
      <c r="C5" s="10" t="inlineStr">
        <is>
          <t>After PAYE tax, pension and other deductions</t>
        </is>
      </c>
    </row>
    <row r="6">
      <c r="A6" t="inlineStr">
        <is>
          <t>Business or side income</t>
        </is>
      </c>
      <c r="B6" s="23" t="n">
        <v>40000</v>
      </c>
      <c r="C6" s="10" t="inlineStr">
        <is>
          <t>Average of the last 3 months if it changes</t>
        </is>
      </c>
    </row>
    <row r="7">
      <c r="A7" t="inlineStr">
        <is>
          <t>Investment income</t>
        </is>
      </c>
      <c r="B7" s="23" t="n">
        <v>5000</v>
      </c>
      <c r="C7" s="10" t="inlineStr">
        <is>
          <t>Interest, rent, dividends</t>
        </is>
      </c>
    </row>
    <row r="8">
      <c r="A8" t="inlineStr">
        <is>
          <t>Other income</t>
        </is>
      </c>
      <c r="B8" s="23" t="n">
        <v>0</v>
      </c>
      <c r="C8" s="10" t="inlineStr">
        <is>
          <t>Family support, allowances, grants</t>
        </is>
      </c>
    </row>
    <row r="9">
      <c r="A9" s="11" t="inlineStr">
        <is>
          <t>Total money in</t>
        </is>
      </c>
      <c r="B9" s="12">
        <f>SUM(B5:B8)</f>
        <v/>
      </c>
    </row>
    <row r="11">
      <c r="A11" s="7" t="inlineStr">
        <is>
          <t>2. Money out (monthly)</t>
        </is>
      </c>
      <c r="B11" s="8" t="n"/>
      <c r="C11" s="8" t="n"/>
    </row>
    <row r="12">
      <c r="A12" t="inlineStr">
        <is>
          <t>Rent / housing</t>
        </is>
      </c>
      <c r="B12" s="23" t="n">
        <v>60000</v>
      </c>
      <c r="C12" s="10" t="inlineStr">
        <is>
          <t>Yearly rent ÷ 12</t>
        </is>
      </c>
    </row>
    <row r="13">
      <c r="A13" t="inlineStr">
        <is>
          <t>Food and groceries</t>
        </is>
      </c>
      <c r="B13" s="23" t="n">
        <v>70000</v>
      </c>
    </row>
    <row r="14">
      <c r="A14" t="inlineStr">
        <is>
          <t>Transport</t>
        </is>
      </c>
      <c r="B14" s="23" t="n">
        <v>30000</v>
      </c>
    </row>
    <row r="15">
      <c r="A15" t="inlineStr">
        <is>
          <t>Data, airtime, subscriptions</t>
        </is>
      </c>
      <c r="B15" s="23" t="n">
        <v>12000</v>
      </c>
    </row>
    <row r="16">
      <c r="A16" t="inlineStr">
        <is>
          <t>Family support and giving</t>
        </is>
      </c>
      <c r="B16" s="23" t="n">
        <v>20000</v>
      </c>
    </row>
    <row r="17">
      <c r="A17" t="inlineStr">
        <is>
          <t>Loan repayments</t>
        </is>
      </c>
      <c r="B17" s="23" t="n">
        <v>15000</v>
      </c>
      <c r="C17" s="10" t="inlineStr">
        <is>
          <t>Include loan apps and money owed to family</t>
        </is>
      </c>
    </row>
    <row r="18">
      <c r="A18" t="inlineStr">
        <is>
          <t>School fees (monthly share)</t>
        </is>
      </c>
      <c r="B18" s="23" t="n">
        <v>15000</v>
      </c>
      <c r="C18" s="10" t="inlineStr">
        <is>
          <t>Yearly fees ÷ 12</t>
        </is>
      </c>
    </row>
    <row r="19">
      <c r="A19" t="inlineStr">
        <is>
          <t>Fun, eating out, treats</t>
        </is>
      </c>
      <c r="B19" s="23" t="n">
        <v>15000</v>
      </c>
    </row>
    <row r="20">
      <c r="A20" t="inlineStr">
        <is>
          <t>Other</t>
        </is>
      </c>
      <c r="B20" s="23" t="n">
        <v>10000</v>
      </c>
    </row>
    <row r="21">
      <c r="A21" s="11" t="inlineStr">
        <is>
          <t>Total money out</t>
        </is>
      </c>
      <c r="B21" s="12">
        <f>SUM(B12:B20)</f>
        <v/>
      </c>
    </row>
    <row r="23">
      <c r="A23" s="7" t="inlineStr">
        <is>
          <t>3. Your monthly surplus</t>
        </is>
      </c>
      <c r="B23" s="8" t="n"/>
      <c r="C23" s="8" t="n"/>
    </row>
    <row r="24">
      <c r="A24" s="11" t="inlineStr">
        <is>
          <t>Surplus (money in − money out)</t>
        </is>
      </c>
      <c r="B24" s="12">
        <f>B9-B21</f>
        <v/>
      </c>
      <c r="C24" s="10" t="inlineStr">
        <is>
          <t>Positive: you can save this much. Negative: you are spending more than comes in.</t>
        </is>
      </c>
    </row>
    <row r="25">
      <c r="A25" s="11" t="inlineStr">
        <is>
          <t>Savings rate</t>
        </is>
      </c>
      <c r="B25" s="13">
        <f>IF(B9=0,0,B24/B9)</f>
        <v/>
      </c>
      <c r="C25" s="10" t="inlineStr">
        <is>
          <t>Aim for at least 20% over time.</t>
        </is>
      </c>
    </row>
    <row r="27">
      <c r="A27" s="7" t="inlineStr">
        <is>
          <t>4. What you own (assets)</t>
        </is>
      </c>
      <c r="B27" s="8" t="n"/>
      <c r="C27" s="8" t="n"/>
    </row>
    <row r="28">
      <c r="A28" t="inlineStr">
        <is>
          <t>Cash and bank savings</t>
        </is>
      </c>
      <c r="B28" s="23" t="n">
        <v>180000</v>
      </c>
    </row>
    <row r="29">
      <c r="A29" t="inlineStr">
        <is>
          <t>Investments (T-bills, shares, funds)</t>
        </is>
      </c>
      <c r="B29" s="23" t="n">
        <v>0</v>
      </c>
    </row>
    <row r="30">
      <c r="A30" t="inlineStr">
        <is>
          <t>Business stock and equipment</t>
        </is>
      </c>
      <c r="B30" s="23" t="n">
        <v>100000</v>
      </c>
    </row>
    <row r="31">
      <c r="A31" t="inlineStr">
        <is>
          <t>Land / property (what you paid)</t>
        </is>
      </c>
      <c r="B31" s="23" t="n">
        <v>0</v>
      </c>
      <c r="C31" s="10" t="inlineStr">
        <is>
          <t>Use the price you paid, not a hopeful value</t>
        </is>
      </c>
    </row>
    <row r="32">
      <c r="A32" t="inlineStr">
        <is>
          <t>Other valuables you could sell</t>
        </is>
      </c>
      <c r="B32" s="23" t="n">
        <v>50000</v>
      </c>
    </row>
    <row r="33">
      <c r="A33" s="11" t="inlineStr">
        <is>
          <t>Total assets</t>
        </is>
      </c>
      <c r="B33" s="12">
        <f>SUM(B28:B32)</f>
        <v/>
      </c>
    </row>
    <row r="35">
      <c r="A35" s="7" t="inlineStr">
        <is>
          <t>5. What you owe (liabilities)</t>
        </is>
      </c>
      <c r="B35" s="8" t="n"/>
      <c r="C35" s="8" t="n"/>
    </row>
    <row r="36">
      <c r="A36" t="inlineStr">
        <is>
          <t>Bank loans</t>
        </is>
      </c>
      <c r="B36" s="23" t="n">
        <v>0</v>
      </c>
      <c r="C36" s="10" t="inlineStr">
        <is>
          <t>Balance left, not the original loan</t>
        </is>
      </c>
    </row>
    <row r="37">
      <c r="A37" t="inlineStr">
        <is>
          <t>Loan apps</t>
        </is>
      </c>
      <c r="B37" s="23" t="n">
        <v>45000</v>
      </c>
    </row>
    <row r="38">
      <c r="A38" t="inlineStr">
        <is>
          <t>Money owed to family / friends</t>
        </is>
      </c>
      <c r="B38" s="23" t="n">
        <v>30000</v>
      </c>
    </row>
    <row r="39">
      <c r="A39" t="inlineStr">
        <is>
          <t>Unpaid bills or credit from traders</t>
        </is>
      </c>
      <c r="B39" s="23" t="n">
        <v>0</v>
      </c>
    </row>
    <row r="40">
      <c r="A40" t="inlineStr">
        <is>
          <t>Other debts</t>
        </is>
      </c>
      <c r="B40" s="23" t="n">
        <v>0</v>
      </c>
    </row>
    <row r="41">
      <c r="A41" s="11" t="inlineStr">
        <is>
          <t>Total liabilities</t>
        </is>
      </c>
      <c r="B41" s="12">
        <f>SUM(B36:B40)</f>
        <v/>
      </c>
    </row>
    <row r="43">
      <c r="A43" s="7" t="inlineStr">
        <is>
          <t>6. Your net worth</t>
        </is>
      </c>
      <c r="B43" s="8" t="n"/>
      <c r="C43" s="8" t="n"/>
    </row>
    <row r="44">
      <c r="A44" s="14" t="inlineStr">
        <is>
          <t>Net worth (assets − liabilities)</t>
        </is>
      </c>
      <c r="B44" s="15">
        <f>B33-B41</f>
        <v/>
      </c>
      <c r="C44" s="16" t="inlineStr">
        <is>
          <t>Your real scoreboard. Update it every 3 months.</t>
        </is>
      </c>
    </row>
    <row r="45">
      <c r="A45" s="11" t="inlineStr">
        <is>
          <t>Months your savings would last</t>
        </is>
      </c>
      <c r="B45" s="17">
        <f>IF(B21=0,0,N(B28)/B21)</f>
        <v/>
      </c>
      <c r="C45" s="10" t="inlineStr">
        <is>
          <t>Cash and bank savings ÷ monthly money out. Aim for 3, then 6.</t>
        </is>
      </c>
    </row>
    <row r="47">
      <c r="A47" s="18" t="inlineStr">
        <is>
          <t>Want this to update itself as you spend? Kopkad tracks it for you: app.kopkad.ng</t>
        </is>
      </c>
    </row>
    <row r="48">
      <c r="A48" s="18" t="inlineStr">
        <is>
          <t>For educational purposes only. This is not financial advice.</t>
        </is>
      </c>
    </row>
    <row r="49">
      <c r="A49" s="19" t="inlineStr">
        <is>
          <t>With Snowball, we keep it rolling.</t>
        </is>
      </c>
    </row>
  </sheetData>
  <conditionalFormatting sqref="B5">
    <cfRule type="expression" priority="1" dxfId="0">
      <formula>ISNUMBER(B5)</formula>
    </cfRule>
  </conditionalFormatting>
  <conditionalFormatting sqref="B6">
    <cfRule type="expression" priority="2" dxfId="0">
      <formula>ISNUMBER(B6)</formula>
    </cfRule>
  </conditionalFormatting>
  <conditionalFormatting sqref="B7">
    <cfRule type="expression" priority="3" dxfId="0">
      <formula>ISNUMBER(B7)</formula>
    </cfRule>
  </conditionalFormatting>
  <conditionalFormatting sqref="B8">
    <cfRule type="expression" priority="4" dxfId="0">
      <formula>ISNUMBER(B8)</formula>
    </cfRule>
  </conditionalFormatting>
  <conditionalFormatting sqref="B12">
    <cfRule type="expression" priority="5" dxfId="0">
      <formula>ISNUMBER(B12)</formula>
    </cfRule>
  </conditionalFormatting>
  <conditionalFormatting sqref="B13">
    <cfRule type="expression" priority="6" dxfId="0">
      <formula>ISNUMBER(B13)</formula>
    </cfRule>
  </conditionalFormatting>
  <conditionalFormatting sqref="B14">
    <cfRule type="expression" priority="7" dxfId="0">
      <formula>ISNUMBER(B14)</formula>
    </cfRule>
  </conditionalFormatting>
  <conditionalFormatting sqref="B15">
    <cfRule type="expression" priority="8" dxfId="0">
      <formula>ISNUMBER(B15)</formula>
    </cfRule>
  </conditionalFormatting>
  <conditionalFormatting sqref="B16">
    <cfRule type="expression" priority="9" dxfId="0">
      <formula>ISNUMBER(B16)</formula>
    </cfRule>
  </conditionalFormatting>
  <conditionalFormatting sqref="B17">
    <cfRule type="expression" priority="10" dxfId="0">
      <formula>ISNUMBER(B17)</formula>
    </cfRule>
  </conditionalFormatting>
  <conditionalFormatting sqref="B18">
    <cfRule type="expression" priority="11" dxfId="0">
      <formula>ISNUMBER(B18)</formula>
    </cfRule>
  </conditionalFormatting>
  <conditionalFormatting sqref="B19">
    <cfRule type="expression" priority="12" dxfId="0">
      <formula>ISNUMBER(B19)</formula>
    </cfRule>
  </conditionalFormatting>
  <conditionalFormatting sqref="B20">
    <cfRule type="expression" priority="13" dxfId="0">
      <formula>ISNUMBER(B20)</formula>
    </cfRule>
  </conditionalFormatting>
  <conditionalFormatting sqref="B28">
    <cfRule type="expression" priority="14" dxfId="0">
      <formula>ISNUMBER(B28)</formula>
    </cfRule>
  </conditionalFormatting>
  <conditionalFormatting sqref="B29">
    <cfRule type="expression" priority="15" dxfId="0">
      <formula>ISNUMBER(B29)</formula>
    </cfRule>
  </conditionalFormatting>
  <conditionalFormatting sqref="B30">
    <cfRule type="expression" priority="16" dxfId="0">
      <formula>ISNUMBER(B30)</formula>
    </cfRule>
  </conditionalFormatting>
  <conditionalFormatting sqref="B31">
    <cfRule type="expression" priority="17" dxfId="0">
      <formula>ISNUMBER(B31)</formula>
    </cfRule>
  </conditionalFormatting>
  <conditionalFormatting sqref="B32">
    <cfRule type="expression" priority="18" dxfId="0">
      <formula>ISNUMBER(B32)</formula>
    </cfRule>
  </conditionalFormatting>
  <conditionalFormatting sqref="B36">
    <cfRule type="expression" priority="19" dxfId="0">
      <formula>ISNUMBER(B36)</formula>
    </cfRule>
  </conditionalFormatting>
  <conditionalFormatting sqref="B37">
    <cfRule type="expression" priority="20" dxfId="0">
      <formula>ISNUMBER(B37)</formula>
    </cfRule>
  </conditionalFormatting>
  <conditionalFormatting sqref="B38">
    <cfRule type="expression" priority="21" dxfId="0">
      <formula>ISNUMBER(B38)</formula>
    </cfRule>
  </conditionalFormatting>
  <conditionalFormatting sqref="B39">
    <cfRule type="expression" priority="22" dxfId="0">
      <formula>ISNUMBER(B39)</formula>
    </cfRule>
  </conditionalFormatting>
  <conditionalFormatting sqref="B40">
    <cfRule type="expression" priority="23" dxfId="0">
      <formula>ISNUMBER(B40)</formula>
    </cfRule>
  </conditionalFormatting>
  <dataValidations count="23">
    <dataValidation sqref="B5" showDropDown="0" showInputMessage="1" showErrorMessage="0" allowBlank="1" promptTitle="Salary / wages (take-home)" prompt="What reached your account last month from your job, after deductions."/>
    <dataValidation sqref="B6" showDropDown="0" showInputMessage="1" showErrorMessage="0" allowBlank="1" promptTitle="Business or side income" prompt="Profit from your trade or side work. If it changes, use the average of the last 3 months."/>
    <dataValidation sqref="B7" showDropDown="0" showInputMessage="1" showErrorMessage="0" allowBlank="1" promptTitle="Investment income" prompt="Interest on savings, rent you receive, dividends."/>
    <dataValidation sqref="B8" showDropDown="0" showInputMessage="1" showErrorMessage="0" allowBlank="1" promptTitle="Other income" prompt="Support from family, allowances, grants, an ajo payout."/>
    <dataValidation sqref="B12" showDropDown="0" showInputMessage="1" showErrorMessage="0" allowBlank="1" promptTitle="Rent / housing" prompt="Your monthly share of rent. If you pay yearly, divide by 12."/>
    <dataValidation sqref="B13" showDropDown="0" showInputMessage="1" showErrorMessage="0" allowBlank="1" promptTitle="Food and groceries" prompt="Market, supermarket and cooking gas for the month."/>
    <dataValidation sqref="B14" showDropDown="0" showInputMessage="1" showErrorMessage="0" allowBlank="1" promptTitle="Transport" prompt="Bus, rides, fuel, keke and okada for the month."/>
    <dataValidation sqref="B15" showDropDown="0" showInputMessage="1" showErrorMessage="0" allowBlank="1" promptTitle="Data, airtime, subscriptions" prompt="All top-ups and plans, plus TV and streaming."/>
    <dataValidation sqref="B16" showDropDown="0" showInputMessage="1" showErrorMessage="0" allowBlank="1" promptTitle="Family support and giving" prompt="Money sent to family, offerings, contributions."/>
    <dataValidation sqref="B17" showDropDown="0" showInputMessage="1" showErrorMessage="0" allowBlank="1" promptTitle="Loan repayments" prompt="What you repaid on every loan last month."/>
    <dataValidation sqref="B18" showDropDown="0" showInputMessage="1" showErrorMessage="0" allowBlank="1" promptTitle="School fees (monthly share)" prompt="Yearly or termly fees turned into a monthly figure."/>
    <dataValidation sqref="B19" showDropDown="0" showInputMessage="1" showErrorMessage="0" allowBlank="1" promptTitle="Fun, eating out, treats" prompt="Eating out, drinks, outings, small treats."/>
    <dataValidation sqref="B20" showDropDown="0" showInputMessage="1" showErrorMessage="0" allowBlank="1" promptTitle="Other" prompt="Anything else: clothes, hair, repairs, events."/>
    <dataValidation sqref="B28" showDropDown="0" showInputMessage="1" showErrorMessage="0" allowBlank="1" promptTitle="Cash and bank savings" prompt="Bank and mobile money balances today, plus savings you can reach."/>
    <dataValidation sqref="B29" showDropDown="0" showInputMessage="1" showErrorMessage="0" allowBlank="1" promptTitle="Investments (T-bills, shares, fu" prompt="Current value of any investments."/>
    <dataValidation sqref="B30" showDropDown="0" showInputMessage="1" showErrorMessage="0" allowBlank="1" promptTitle="Business stock and equipment" prompt="What your stock and tools would sell for today."/>
    <dataValidation sqref="B31" showDropDown="0" showInputMessage="1" showErrorMessage="0" allowBlank="1" promptTitle="Land / property (what you paid)" prompt="The price you paid."/>
    <dataValidation sqref="B32" showDropDown="0" showInputMessage="1" showErrorMessage="0" allowBlank="1" promptTitle="Other valuables you could sell" prompt="Phone, laptop, car or gold at what they would sell for today."/>
    <dataValidation sqref="B36" showDropDown="0" showInputMessage="1" showErrorMessage="0" allowBlank="1" promptTitle="Bank loans" prompt="The amount still left to pay."/>
    <dataValidation sqref="B37" showDropDown="0" showInputMessage="1" showErrorMessage="0" allowBlank="1" promptTitle="Loan apps" prompt="What the app says you owe today, including fees."/>
    <dataValidation sqref="B38" showDropDown="0" showInputMessage="1" showErrorMessage="0" allowBlank="1" promptTitle="Money owed to family / friends" prompt="Count it even if there is no interest."/>
    <dataValidation sqref="B39" showDropDown="0" showInputMessage="1" showErrorMessage="0" allowBlank="1" promptTitle="Unpaid bills or credit from trad" prompt="Goods on credit, overdue bills."/>
    <dataValidation sqref="B40" showDropDown="0" showInputMessage="1" showErrorMessage="0" allowBlank="1" promptTitle="Other debts" prompt="Instalments, salary advances, anything else you owe."/>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2026-10-29T18:12:28Z</dcterms:created>
  <dcterms:modified xmlns:dcterms="http://purl.org/dc/terms/" xmlns:xsi="http://www.w3.org/2001/XMLSchema-instance" xsi:type="dcterms:W3CDTF">2026-10-29T18:12:28Z</dcterms:modified>
</cp:coreProperties>
</file>