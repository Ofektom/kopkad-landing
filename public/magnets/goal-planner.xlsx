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y goals" sheetId="2" state="visible" r:id="rId2"/>
    <sheet xmlns:r="http://schemas.openxmlformats.org/officeDocument/2006/relationships" name="Example" sheetId="3" state="visible" r:id="rId3"/>
  </sheets>
  <definedNames/>
  <calcPr calcId="124519" fullCalcOnLoad="1"/>
</workbook>
</file>

<file path=xl/styles.xml><?xml version="1.0" encoding="utf-8"?>
<styleSheet xmlns="http://schemas.openxmlformats.org/spreadsheetml/2006/main">
  <numFmts count="2">
    <numFmt numFmtId="164" formatCode="&quot;₦&quot;#,##0;[Red]-&quot;₦&quot;#,##0"/>
    <numFmt numFmtId="165" formatCode="0.##"/>
  </numFmts>
  <fonts count="13">
    <font>
      <name val="Calibri"/>
      <family val="2"/>
      <color theme="1"/>
      <sz val="11"/>
      <scheme val="minor"/>
    </font>
    <font>
      <b val="1"/>
      <color rgb="0010302A"/>
      <sz val="18"/>
    </font>
    <font>
      <b val="1"/>
      <color rgb="0010302A"/>
      <sz val="13"/>
    </font>
    <font>
      <color rgb="004C6A62"/>
      <sz val="9"/>
    </font>
    <font>
      <b val="1"/>
      <color rgb="00D9822B"/>
    </font>
    <font>
      <i val="1"/>
      <color rgb="004C6A62"/>
    </font>
    <font>
      <b val="1"/>
    </font>
    <font>
      <color rgb="004C6A62"/>
    </font>
    <font>
      <b val="1"/>
      <color rgb="00FFFFFF"/>
      <sz val="11"/>
    </font>
    <font>
      <b val="1"/>
      <color rgb="00D9822B"/>
      <sz val="12"/>
    </font>
    <font>
      <b val="1"/>
      <color rgb="00D9822B"/>
      <sz val="10"/>
    </font>
    <font>
      <b val="1"/>
      <color rgb="00FFFFFF"/>
      <sz val="18"/>
    </font>
    <font>
      <b val="1"/>
      <i val="1"/>
      <color rgb="00D9822B"/>
    </font>
  </fonts>
  <fills count="6">
    <fill>
      <patternFill/>
    </fill>
    <fill>
      <patternFill patternType="gray125"/>
    </fill>
    <fill>
      <patternFill patternType="solid">
        <fgColor rgb="00FFF4CC"/>
      </patternFill>
    </fill>
    <fill>
      <patternFill patternType="solid">
        <fgColor rgb="0010302A"/>
      </patternFill>
    </fill>
    <fill>
      <patternFill patternType="solid">
        <fgColor rgb="00EEF2EA"/>
      </patternFill>
    </fill>
    <fill>
      <patternFill patternType="solid">
        <fgColor rgb="00D9822B"/>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9" fontId="0" fillId="2" borderId="0" pivotButton="0" quotePrefix="0" xfId="0"/>
    <xf numFmtId="0" fontId="7" fillId="0" borderId="0" pivotButton="0" quotePrefix="0" xfId="0"/>
    <xf numFmtId="164" fontId="0" fillId="2" borderId="0" pivotButton="0" quotePrefix="0" xfId="0"/>
    <xf numFmtId="0" fontId="8" fillId="3" borderId="0" applyAlignment="1" pivotButton="0" quotePrefix="0" xfId="0">
      <alignment vertical="center" wrapText="1"/>
    </xf>
    <xf numFmtId="0" fontId="0" fillId="2" borderId="0" pivotButton="0" quotePrefix="0" xfId="0"/>
    <xf numFmtId="165" fontId="0" fillId="2" borderId="0" pivotButton="0" quotePrefix="0" xfId="0"/>
    <xf numFmtId="0" fontId="0" fillId="2" borderId="0" applyAlignment="1" pivotButton="0" quotePrefix="0" xfId="0">
      <alignment horizontal="center"/>
    </xf>
    <xf numFmtId="164" fontId="0" fillId="0" borderId="0" pivotButton="0" quotePrefix="0" xfId="0"/>
    <xf numFmtId="164" fontId="6" fillId="0" borderId="0" pivotButton="0" quotePrefix="0" xfId="0"/>
    <xf numFmtId="0" fontId="6" fillId="4" borderId="0" pivotButton="0" quotePrefix="0" xfId="0"/>
    <xf numFmtId="0" fontId="0" fillId="4" borderId="0" pivotButton="0" quotePrefix="0" xfId="0"/>
    <xf numFmtId="164" fontId="9" fillId="4" borderId="0" pivotButton="0" quotePrefix="0" xfId="0"/>
    <xf numFmtId="0" fontId="7" fillId="4" borderId="0" pivotButton="0" quotePrefix="0" xfId="0"/>
    <xf numFmtId="0" fontId="3" fillId="0" borderId="0" pivotButton="0" quotePrefix="0" xfId="0"/>
    <xf numFmtId="0" fontId="10" fillId="0" borderId="0" pivotButton="0" quotePrefix="0" xfId="0"/>
    <xf numFmtId="0" fontId="11" fillId="5" borderId="0" pivotButton="0" quotePrefix="0" xfId="0"/>
    <xf numFmtId="0" fontId="0" fillId="5"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34"/>
  <sheetViews>
    <sheetView workbookViewId="0">
      <selection activeCell="A1" sqref="A1"/>
    </sheetView>
  </sheetViews>
  <sheetFormatPr baseColWidth="8" defaultRowHeight="15"/>
  <cols>
    <col width="4" customWidth="1" min="1" max="1"/>
    <col width="100" customWidth="1" min="2" max="2"/>
  </cols>
  <sheetData>
    <row r="1">
      <c r="B1" s="1" t="inlineStr">
        <is>
          <t>Life-Stage Goal Planner: start here</t>
        </is>
      </c>
    </row>
    <row r="4">
      <c r="B4" s="2" t="inlineStr">
        <is>
          <t>What this does</t>
        </is>
      </c>
    </row>
    <row r="5" ht="60" customHeight="1">
      <c r="B5" s="3" t="inlineStr">
        <is>
          <t>It puts all your money goals on one sheet, from this year to twenty years ahead. For each goal it works out what it will really cost when you need it (allowing for rising prices, extras and a buffer) and how much you need to save each month. Then it checks whether all your goals together fit what you can save.</t>
        </is>
      </c>
    </row>
    <row r="7">
      <c r="B7" s="2" t="inlineStr">
        <is>
          <t>How to use it (about 20 minutes)</t>
        </is>
      </c>
    </row>
    <row r="8" ht="30" customHeight="1">
      <c r="B8" s="3" t="inlineStr">
        <is>
          <t>1. Open the "My goals" tab (at the bottom of the screen on a phone). It starts empty: these are YOUR goals.</t>
        </is>
      </c>
    </row>
    <row r="9" ht="30" customHeight="1">
      <c r="B9" s="3" t="inlineStr">
        <is>
          <t>2. At the top, check the two percentages: rising prices each year (15% to start) and a buffer for surprises (10%). Type what you can save each month: your surplus from your Money Map.</t>
        </is>
      </c>
    </row>
    <row r="10" ht="15" customHeight="1">
      <c r="B10" s="3" t="inlineStr">
        <is>
          <t>3. One goal per row. Write what it is and choose its life stage from the list.</t>
        </is>
      </c>
    </row>
    <row r="11" ht="30" customHeight="1">
      <c r="B11" s="3" t="inlineStr">
        <is>
          <t>4. "Years from now": how long until you need the money. For months, divide by 12: 6 months is 0.5, 8 months is about 0.67.</t>
        </is>
      </c>
    </row>
    <row r="12" ht="30" customHeight="1">
      <c r="B12" s="3" t="inlineStr">
        <is>
          <t>5. "Priority": 1 for the goal that comes first. Safety first (a starter emergency fund), then expensive debt, then goals by date and importance.</t>
        </is>
      </c>
    </row>
    <row r="13" ht="60" customHeight="1">
      <c r="B13" s="3" t="inlineStr">
        <is>
          <t>6. Type today's price (get a real quote if you can). If the price is already agreed for the date you need it, like a rent you have agreed with your landlord, choose Yes under "Price already fixed?" so the sheet doesn't add rising prices or a buffer. Then type any extras like fees or delivery, and what you have already saved towards it.</t>
        </is>
      </c>
    </row>
    <row r="14" ht="30" customHeight="1">
      <c r="B14" s="3" t="inlineStr">
        <is>
          <t>7. The last three columns fill themselves in: the price when you need it, what is still needed, and the monthly amount.</t>
        </is>
      </c>
    </row>
    <row r="15" ht="30" customHeight="1">
      <c r="B15" s="3" t="inlineStr">
        <is>
          <t>8. Look at the total at the bottom. If it says "Not yet", fund your top priorities first, move a date later, or start with a smaller target.</t>
        </is>
      </c>
    </row>
    <row r="16" ht="15" customHeight="1">
      <c r="B16" s="3" t="inlineStr">
        <is>
          <t>9. Once a year, check today's prices again and update the sheet.</t>
        </is>
      </c>
    </row>
    <row r="18">
      <c r="B18" s="2" t="inlineStr">
        <is>
          <t>Only type in the yellow cells</t>
        </is>
      </c>
    </row>
    <row r="19" ht="30" customHeight="1">
      <c r="B19" s="3" t="inlineStr">
        <is>
          <t>The white cells hold formulas that do the maths. If you type over one by mistake, download a fresh copy.</t>
        </is>
      </c>
    </row>
    <row r="21">
      <c r="B21" s="2" t="inlineStr">
        <is>
          <t>Want to see a finished one first?</t>
        </is>
      </c>
    </row>
    <row r="22" ht="30" customHeight="1">
      <c r="B22" s="3" t="inlineStr">
        <is>
          <t>Open the "Example" tab: Esther's goals, from her emergency fund to her children's university. Don't type your own goals there.</t>
        </is>
      </c>
    </row>
    <row r="24">
      <c r="B24" s="2" t="inlineStr">
        <is>
          <t>These are estimates</t>
        </is>
      </c>
    </row>
    <row r="25" ht="45" customHeight="1">
      <c r="B25" s="3" t="inlineStr">
        <is>
          <t>The sheet assumes prices rise by the same percentage every year. Real prices don't move that neatly, which is why you check once a year. It doesn't count any interest your savings earn, so the monthly amounts are on the safe side.</t>
        </is>
      </c>
    </row>
    <row r="27">
      <c r="B27" s="2" t="inlineStr">
        <is>
          <t>On a phone</t>
        </is>
      </c>
    </row>
    <row r="28" ht="30" customHeight="1">
      <c r="B28" s="3" t="inlineStr">
        <is>
          <t>Open the file with the free Google Sheets or Microsoft Excel app. In Google Sheets, tap File &gt; Make a copy (or Save as Google Sheets) so you can edit it and keep it.</t>
        </is>
      </c>
    </row>
    <row r="30">
      <c r="B30" s="2" t="inlineStr">
        <is>
          <t>Your privacy</t>
        </is>
      </c>
    </row>
    <row r="31" ht="15" customHeight="1">
      <c r="B31" s="3" t="inlineStr">
        <is>
          <t>This file stays on your phone or computer. Nobody else sees your goals or numbers.</t>
        </is>
      </c>
    </row>
    <row r="32">
      <c r="B32" s="4" t="inlineStr">
        <is>
          <t>From the free Financial Intelligence class: kopkad.ng/blog. For educational purposes only. This is not financial advice.</t>
        </is>
      </c>
    </row>
    <row r="34">
      <c r="B34" s="5" t="inlineStr">
        <is>
          <t>With Snowball, we keep it rolling.</t>
        </is>
      </c>
    </row>
  </sheetData>
  <pageMargins left="0.75" right="0.75" top="1" bottom="1" header="0.5" footer="0.5"/>
</worksheet>
</file>

<file path=xl/worksheets/sheet2.xml><?xml version="1.0" encoding="utf-8"?>
<worksheet xmlns="http://schemas.openxmlformats.org/spreadsheetml/2006/main">
  <sheetPr>
    <tabColor rgb="0010302A"/>
    <outlinePr summaryBelow="1" summaryRight="1"/>
    <pageSetUpPr/>
  </sheetPr>
  <dimension ref="A1:K27"/>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10" customWidth="1" min="3" max="3"/>
    <col width="10" customWidth="1" min="4" max="4"/>
    <col width="15" customWidth="1" min="5" max="5"/>
    <col width="11" customWidth="1" min="6" max="6"/>
    <col width="14" customWidth="1" min="7" max="7"/>
    <col width="14" customWidth="1" min="8" max="8"/>
    <col width="17" customWidth="1" min="9" max="9"/>
    <col width="15" customWidth="1" min="10" max="10"/>
    <col width="15" customWidth="1" min="11" max="11"/>
  </cols>
  <sheetData>
    <row r="1">
      <c r="A1" s="1" t="inlineStr">
        <is>
          <t>My goals</t>
        </is>
      </c>
    </row>
    <row r="2">
      <c r="A2" s="6" t="inlineStr">
        <is>
          <t>Type in the yellow cells only. Everything else works itself out. New here? Read the "Start here" tab first.</t>
        </is>
      </c>
    </row>
    <row r="4">
      <c r="A4" s="7" t="inlineStr">
        <is>
          <t>Rising prices each year</t>
        </is>
      </c>
      <c r="C4" s="8" t="n">
        <v>0.15</v>
      </c>
      <c r="D4" s="9" t="inlineStr">
        <is>
          <t>Nigeria's inflation was about 14.6% in Sep 2026. Change this if the latest figure is different.</t>
        </is>
      </c>
    </row>
    <row r="5">
      <c r="A5" s="7" t="inlineStr">
        <is>
          <t>Buffer for surprises</t>
        </is>
      </c>
      <c r="C5" s="8" t="n">
        <v>0.1</v>
      </c>
      <c r="D5" s="9" t="inlineStr">
        <is>
          <t>Extra on top of every goal for things you haven't thought of.</t>
        </is>
      </c>
    </row>
    <row r="6">
      <c r="A6" s="7" t="inlineStr">
        <is>
          <t>What I can save each month</t>
        </is>
      </c>
      <c r="C6" s="10" t="n"/>
      <c r="D6" s="9" t="inlineStr">
        <is>
          <t>Your monthly surplus from your Money Map (money in − money out).</t>
        </is>
      </c>
    </row>
    <row r="8" ht="32" customHeight="1">
      <c r="A8" s="11" t="inlineStr">
        <is>
          <t>Goal</t>
        </is>
      </c>
      <c r="B8" s="11" t="inlineStr">
        <is>
          <t>Life stage</t>
        </is>
      </c>
      <c r="C8" s="11" t="inlineStr">
        <is>
          <t>Years from now</t>
        </is>
      </c>
      <c r="D8" s="11" t="inlineStr">
        <is>
          <t>Priority (1 = first)</t>
        </is>
      </c>
      <c r="E8" s="11" t="inlineStr">
        <is>
          <t>Today's price</t>
        </is>
      </c>
      <c r="F8" s="11" t="inlineStr">
        <is>
          <t>Price already fixed?</t>
        </is>
      </c>
      <c r="G8" s="11" t="inlineStr">
        <is>
          <t>Extras (fees, delivery)</t>
        </is>
      </c>
      <c r="H8" s="11" t="inlineStr">
        <is>
          <t>Already saved</t>
        </is>
      </c>
      <c r="I8" s="11" t="inlineStr">
        <is>
          <t>Price when you need it</t>
        </is>
      </c>
      <c r="J8" s="11" t="inlineStr">
        <is>
          <t>Still needed</t>
        </is>
      </c>
      <c r="K8" s="11" t="inlineStr">
        <is>
          <t>Monthly amount</t>
        </is>
      </c>
    </row>
    <row r="9">
      <c r="A9" s="12" t="n"/>
      <c r="B9" s="12" t="n"/>
      <c r="C9" s="13" t="n"/>
      <c r="D9" s="12" t="n"/>
      <c r="E9" s="10" t="n"/>
      <c r="F9" s="14" t="n"/>
      <c r="G9" s="10" t="n"/>
      <c r="H9" s="10" t="n"/>
      <c r="I9" s="15">
        <f>IF(E9="","",IF(F9="Yes",E9+G9,(E9*(1+$C$4)^C9+G9)*(1+$C$5)))</f>
        <v/>
      </c>
      <c r="J9" s="15">
        <f>IF(I9="","",MAX(0,I9-H9))</f>
        <v/>
      </c>
      <c r="K9" s="16">
        <f>IF(OR(J9="",C9=""),"",IF(C9&lt;=0,J9,J9/(C9*12)))</f>
        <v/>
      </c>
    </row>
    <row r="10">
      <c r="A10" s="12" t="n"/>
      <c r="B10" s="12" t="n"/>
      <c r="C10" s="13" t="n"/>
      <c r="D10" s="12" t="n"/>
      <c r="E10" s="10" t="n"/>
      <c r="F10" s="14" t="n"/>
      <c r="G10" s="10" t="n"/>
      <c r="H10" s="10" t="n"/>
      <c r="I10" s="15">
        <f>IF(E10="","",IF(F10="Yes",E10+G10,(E10*(1+$C$4)^C10+G10)*(1+$C$5)))</f>
        <v/>
      </c>
      <c r="J10" s="15">
        <f>IF(I10="","",MAX(0,I10-H10))</f>
        <v/>
      </c>
      <c r="K10" s="16">
        <f>IF(OR(J10="",C10=""),"",IF(C10&lt;=0,J10,J10/(C10*12)))</f>
        <v/>
      </c>
    </row>
    <row r="11">
      <c r="A11" s="12" t="n"/>
      <c r="B11" s="12" t="n"/>
      <c r="C11" s="13" t="n"/>
      <c r="D11" s="12" t="n"/>
      <c r="E11" s="10" t="n"/>
      <c r="F11" s="14" t="n"/>
      <c r="G11" s="10" t="n"/>
      <c r="H11" s="10" t="n"/>
      <c r="I11" s="15">
        <f>IF(E11="","",IF(F11="Yes",E11+G11,(E11*(1+$C$4)^C11+G11)*(1+$C$5)))</f>
        <v/>
      </c>
      <c r="J11" s="15">
        <f>IF(I11="","",MAX(0,I11-H11))</f>
        <v/>
      </c>
      <c r="K11" s="16">
        <f>IF(OR(J11="",C11=""),"",IF(C11&lt;=0,J11,J11/(C11*12)))</f>
        <v/>
      </c>
    </row>
    <row r="12">
      <c r="A12" s="12" t="n"/>
      <c r="B12" s="12" t="n"/>
      <c r="C12" s="13" t="n"/>
      <c r="D12" s="12" t="n"/>
      <c r="E12" s="10" t="n"/>
      <c r="F12" s="14" t="n"/>
      <c r="G12" s="10" t="n"/>
      <c r="H12" s="10" t="n"/>
      <c r="I12" s="15">
        <f>IF(E12="","",IF(F12="Yes",E12+G12,(E12*(1+$C$4)^C12+G12)*(1+$C$5)))</f>
        <v/>
      </c>
      <c r="J12" s="15">
        <f>IF(I12="","",MAX(0,I12-H12))</f>
        <v/>
      </c>
      <c r="K12" s="16">
        <f>IF(OR(J12="",C12=""),"",IF(C12&lt;=0,J12,J12/(C12*12)))</f>
        <v/>
      </c>
    </row>
    <row r="13">
      <c r="A13" s="12" t="n"/>
      <c r="B13" s="12" t="n"/>
      <c r="C13" s="13" t="n"/>
      <c r="D13" s="12" t="n"/>
      <c r="E13" s="10" t="n"/>
      <c r="F13" s="14" t="n"/>
      <c r="G13" s="10" t="n"/>
      <c r="H13" s="10" t="n"/>
      <c r="I13" s="15">
        <f>IF(E13="","",IF(F13="Yes",E13+G13,(E13*(1+$C$4)^C13+G13)*(1+$C$5)))</f>
        <v/>
      </c>
      <c r="J13" s="15">
        <f>IF(I13="","",MAX(0,I13-H13))</f>
        <v/>
      </c>
      <c r="K13" s="16">
        <f>IF(OR(J13="",C13=""),"",IF(C13&lt;=0,J13,J13/(C13*12)))</f>
        <v/>
      </c>
    </row>
    <row r="14">
      <c r="A14" s="12" t="n"/>
      <c r="B14" s="12" t="n"/>
      <c r="C14" s="13" t="n"/>
      <c r="D14" s="12" t="n"/>
      <c r="E14" s="10" t="n"/>
      <c r="F14" s="14" t="n"/>
      <c r="G14" s="10" t="n"/>
      <c r="H14" s="10" t="n"/>
      <c r="I14" s="15">
        <f>IF(E14="","",IF(F14="Yes",E14+G14,(E14*(1+$C$4)^C14+G14)*(1+$C$5)))</f>
        <v/>
      </c>
      <c r="J14" s="15">
        <f>IF(I14="","",MAX(0,I14-H14))</f>
        <v/>
      </c>
      <c r="K14" s="16">
        <f>IF(OR(J14="",C14=""),"",IF(C14&lt;=0,J14,J14/(C14*12)))</f>
        <v/>
      </c>
    </row>
    <row r="15">
      <c r="A15" s="12" t="n"/>
      <c r="B15" s="12" t="n"/>
      <c r="C15" s="13" t="n"/>
      <c r="D15" s="12" t="n"/>
      <c r="E15" s="10" t="n"/>
      <c r="F15" s="14" t="n"/>
      <c r="G15" s="10" t="n"/>
      <c r="H15" s="10" t="n"/>
      <c r="I15" s="15">
        <f>IF(E15="","",IF(F15="Yes",E15+G15,(E15*(1+$C$4)^C15+G15)*(1+$C$5)))</f>
        <v/>
      </c>
      <c r="J15" s="15">
        <f>IF(I15="","",MAX(0,I15-H15))</f>
        <v/>
      </c>
      <c r="K15" s="16">
        <f>IF(OR(J15="",C15=""),"",IF(C15&lt;=0,J15,J15/(C15*12)))</f>
        <v/>
      </c>
    </row>
    <row r="16">
      <c r="A16" s="12" t="n"/>
      <c r="B16" s="12" t="n"/>
      <c r="C16" s="13" t="n"/>
      <c r="D16" s="12" t="n"/>
      <c r="E16" s="10" t="n"/>
      <c r="F16" s="14" t="n"/>
      <c r="G16" s="10" t="n"/>
      <c r="H16" s="10" t="n"/>
      <c r="I16" s="15">
        <f>IF(E16="","",IF(F16="Yes",E16+G16,(E16*(1+$C$4)^C16+G16)*(1+$C$5)))</f>
        <v/>
      </c>
      <c r="J16" s="15">
        <f>IF(I16="","",MAX(0,I16-H16))</f>
        <v/>
      </c>
      <c r="K16" s="16">
        <f>IF(OR(J16="",C16=""),"",IF(C16&lt;=0,J16,J16/(C16*12)))</f>
        <v/>
      </c>
    </row>
    <row r="17">
      <c r="A17" s="12" t="n"/>
      <c r="B17" s="12" t="n"/>
      <c r="C17" s="13" t="n"/>
      <c r="D17" s="12" t="n"/>
      <c r="E17" s="10" t="n"/>
      <c r="F17" s="14" t="n"/>
      <c r="G17" s="10" t="n"/>
      <c r="H17" s="10" t="n"/>
      <c r="I17" s="15">
        <f>IF(E17="","",IF(F17="Yes",E17+G17,(E17*(1+$C$4)^C17+G17)*(1+$C$5)))</f>
        <v/>
      </c>
      <c r="J17" s="15">
        <f>IF(I17="","",MAX(0,I17-H17))</f>
        <v/>
      </c>
      <c r="K17" s="16">
        <f>IF(OR(J17="",C17=""),"",IF(C17&lt;=0,J17,J17/(C17*12)))</f>
        <v/>
      </c>
    </row>
    <row r="18">
      <c r="A18" s="12" t="n"/>
      <c r="B18" s="12" t="n"/>
      <c r="C18" s="13" t="n"/>
      <c r="D18" s="12" t="n"/>
      <c r="E18" s="10" t="n"/>
      <c r="F18" s="14" t="n"/>
      <c r="G18" s="10" t="n"/>
      <c r="H18" s="10" t="n"/>
      <c r="I18" s="15">
        <f>IF(E18="","",IF(F18="Yes",E18+G18,(E18*(1+$C$4)^C18+G18)*(1+$C$5)))</f>
        <v/>
      </c>
      <c r="J18" s="15">
        <f>IF(I18="","",MAX(0,I18-H18))</f>
        <v/>
      </c>
      <c r="K18" s="16">
        <f>IF(OR(J18="",C18=""),"",IF(C18&lt;=0,J18,J18/(C18*12)))</f>
        <v/>
      </c>
    </row>
    <row r="19">
      <c r="A19" s="12" t="n"/>
      <c r="B19" s="12" t="n"/>
      <c r="C19" s="13" t="n"/>
      <c r="D19" s="12" t="n"/>
      <c r="E19" s="10" t="n"/>
      <c r="F19" s="14" t="n"/>
      <c r="G19" s="10" t="n"/>
      <c r="H19" s="10" t="n"/>
      <c r="I19" s="15">
        <f>IF(E19="","",IF(F19="Yes",E19+G19,(E19*(1+$C$4)^C19+G19)*(1+$C$5)))</f>
        <v/>
      </c>
      <c r="J19" s="15">
        <f>IF(I19="","",MAX(0,I19-H19))</f>
        <v/>
      </c>
      <c r="K19" s="16">
        <f>IF(OR(J19="",C19=""),"",IF(C19&lt;=0,J19,J19/(C19*12)))</f>
        <v/>
      </c>
    </row>
    <row r="20">
      <c r="A20" s="12" t="n"/>
      <c r="B20" s="12" t="n"/>
      <c r="C20" s="13" t="n"/>
      <c r="D20" s="12" t="n"/>
      <c r="E20" s="10" t="n"/>
      <c r="F20" s="14" t="n"/>
      <c r="G20" s="10" t="n"/>
      <c r="H20" s="10" t="n"/>
      <c r="I20" s="15">
        <f>IF(E20="","",IF(F20="Yes",E20+G20,(E20*(1+$C$4)^C20+G20)*(1+$C$5)))</f>
        <v/>
      </c>
      <c r="J20" s="15">
        <f>IF(I20="","",MAX(0,I20-H20))</f>
        <v/>
      </c>
      <c r="K20" s="16">
        <f>IF(OR(J20="",C20=""),"",IF(C20&lt;=0,J20,J20/(C20*12)))</f>
        <v/>
      </c>
    </row>
    <row r="22">
      <c r="A22" s="17" t="inlineStr">
        <is>
          <t>Total needed each month for all goals</t>
        </is>
      </c>
      <c r="B22" s="18" t="n"/>
      <c r="C22" s="18" t="n"/>
      <c r="D22" s="18" t="n"/>
      <c r="E22" s="18" t="n"/>
      <c r="F22" s="18" t="n"/>
      <c r="G22" s="18" t="n"/>
      <c r="H22" s="18" t="n"/>
      <c r="I22" s="18" t="n"/>
      <c r="J22" s="18" t="n"/>
      <c r="K22" s="19">
        <f>SUM(K9:K20)</f>
        <v/>
      </c>
    </row>
    <row r="23">
      <c r="A23" s="17" t="inlineStr">
        <is>
          <t>Can I afford all of them?</t>
        </is>
      </c>
      <c r="B23" s="20" t="inlineStr">
        <is>
          <t>If "Not yet": give each goal a priority, fund the top ones first, move a date later, or start smaller.</t>
        </is>
      </c>
      <c r="C23" s="18" t="n"/>
      <c r="D23" s="18" t="n"/>
      <c r="E23" s="18" t="n"/>
      <c r="F23" s="18" t="n"/>
      <c r="G23" s="18" t="n"/>
      <c r="H23" s="18" t="n"/>
      <c r="I23" s="18" t="n"/>
      <c r="J23" s="18" t="n"/>
      <c r="K23" s="17">
        <f>IF($C$6="","Fill in C6",IF(K22&lt;=$C$6,"Yes","Not yet"))</f>
        <v/>
      </c>
    </row>
    <row r="25">
      <c r="A25" s="9" t="inlineStr">
        <is>
          <t>Prices are estimates: they assume prices rise by the same % every year. Check them once a year and update.</t>
        </is>
      </c>
    </row>
    <row r="26">
      <c r="A26" s="21" t="inlineStr">
        <is>
          <t>Free from the Financial Intelligence class · kopkad.ng/blog. For educational purposes only. This is not financial advice.</t>
        </is>
      </c>
    </row>
    <row r="27">
      <c r="A27" s="22" t="inlineStr">
        <is>
          <t>With Snowball, we keep it rolling.</t>
        </is>
      </c>
    </row>
  </sheetData>
  <dataValidations count="2">
    <dataValidation sqref="B9 B10 B11 B12 B13 B14 B15 B16 B17 B18 B19 B20" showDropDown="0" showInputMessage="0" showErrorMessage="0" allowBlank="1" type="list">
      <formula1>"Within 1 year,1–5 years,5–10 years,10–20 years,20+ years"</formula1>
    </dataValidation>
    <dataValidation sqref="F9 F10 F11 F12 F13 F14 F15 F16 F17 F18 F19 F20"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tabColor rgb="00D9822B"/>
    <outlinePr summaryBelow="1" summaryRight="1"/>
    <pageSetUpPr/>
  </sheetPr>
  <dimension ref="A1:K27"/>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10" customWidth="1" min="3" max="3"/>
    <col width="10" customWidth="1" min="4" max="4"/>
    <col width="15" customWidth="1" min="5" max="5"/>
    <col width="11" customWidth="1" min="6" max="6"/>
    <col width="14" customWidth="1" min="7" max="7"/>
    <col width="14" customWidth="1" min="8" max="8"/>
    <col width="17" customWidth="1" min="9" max="9"/>
    <col width="15" customWidth="1" min="10" max="10"/>
    <col width="15" customWidth="1" min="11" max="11"/>
  </cols>
  <sheetData>
    <row r="1">
      <c r="A1" s="23" t="inlineStr">
        <is>
          <t>EXAMPLE: Esther's goals</t>
        </is>
      </c>
      <c r="B1" s="24" t="n"/>
      <c r="C1" s="24" t="n"/>
      <c r="D1" s="24" t="n"/>
      <c r="E1" s="24" t="n"/>
      <c r="F1" s="24" t="n"/>
      <c r="G1" s="24" t="n"/>
      <c r="H1" s="24" t="n"/>
      <c r="I1" s="24" t="n"/>
      <c r="J1" s="24" t="n"/>
      <c r="K1" s="24" t="n"/>
    </row>
    <row r="2">
      <c r="A2" s="25" t="inlineStr">
        <is>
          <t>An example to show what a finished planner looks like. Fill in your own on the "My goals" tab.</t>
        </is>
      </c>
    </row>
    <row r="4">
      <c r="A4" s="7" t="inlineStr">
        <is>
          <t>Rising prices each year</t>
        </is>
      </c>
      <c r="C4" s="8" t="n">
        <v>0.15</v>
      </c>
      <c r="D4" s="9" t="inlineStr">
        <is>
          <t>Nigeria's inflation was about 14.6% in Sep 2026. Change this if the latest figure is different.</t>
        </is>
      </c>
    </row>
    <row r="5">
      <c r="A5" s="7" t="inlineStr">
        <is>
          <t>Buffer for surprises</t>
        </is>
      </c>
      <c r="C5" s="8" t="n">
        <v>0.1</v>
      </c>
      <c r="D5" s="9" t="inlineStr">
        <is>
          <t>Extra on top of every goal for things you haven't thought of.</t>
        </is>
      </c>
    </row>
    <row r="6">
      <c r="A6" s="7" t="inlineStr">
        <is>
          <t>What I can save each month</t>
        </is>
      </c>
      <c r="C6" s="10" t="n">
        <v>160000</v>
      </c>
      <c r="D6" s="9" t="inlineStr">
        <is>
          <t>Your monthly surplus from your Money Map (money in − money out).</t>
        </is>
      </c>
    </row>
    <row r="8" ht="32" customHeight="1">
      <c r="A8" s="11" t="inlineStr">
        <is>
          <t>Goal</t>
        </is>
      </c>
      <c r="B8" s="11" t="inlineStr">
        <is>
          <t>Life stage</t>
        </is>
      </c>
      <c r="C8" s="11" t="inlineStr">
        <is>
          <t>Years from now</t>
        </is>
      </c>
      <c r="D8" s="11" t="inlineStr">
        <is>
          <t>Priority (1 = first)</t>
        </is>
      </c>
      <c r="E8" s="11" t="inlineStr">
        <is>
          <t>Today's price</t>
        </is>
      </c>
      <c r="F8" s="11" t="inlineStr">
        <is>
          <t>Price already fixed?</t>
        </is>
      </c>
      <c r="G8" s="11" t="inlineStr">
        <is>
          <t>Extras (fees, delivery)</t>
        </is>
      </c>
      <c r="H8" s="11" t="inlineStr">
        <is>
          <t>Already saved</t>
        </is>
      </c>
      <c r="I8" s="11" t="inlineStr">
        <is>
          <t>Price when you need it</t>
        </is>
      </c>
      <c r="J8" s="11" t="inlineStr">
        <is>
          <t>Still needed</t>
        </is>
      </c>
      <c r="K8" s="11" t="inlineStr">
        <is>
          <t>Monthly amount</t>
        </is>
      </c>
    </row>
    <row r="9">
      <c r="A9" s="12" t="inlineStr">
        <is>
          <t>Starter emergency fund</t>
        </is>
      </c>
      <c r="B9" s="12" t="inlineStr">
        <is>
          <t>Within 1 year</t>
        </is>
      </c>
      <c r="C9" s="13" t="n">
        <v>1</v>
      </c>
      <c r="D9" s="12" t="n">
        <v>1</v>
      </c>
      <c r="E9" s="10" t="n">
        <v>150000</v>
      </c>
      <c r="F9" s="14" t="inlineStr">
        <is>
          <t>No</t>
        </is>
      </c>
      <c r="G9" s="10" t="n">
        <v>0</v>
      </c>
      <c r="H9" s="10" t="n">
        <v>30000</v>
      </c>
      <c r="I9" s="15">
        <f>IF(E9="","",IF(F9="Yes",E9+G9,(E9*(1+$C$4)^C9+G9)*(1+$C$5)))</f>
        <v/>
      </c>
      <c r="J9" s="15">
        <f>IF(I9="","",MAX(0,I9-H9))</f>
        <v/>
      </c>
      <c r="K9" s="16">
        <f>IF(OR(J9="",C9=""),"",IF(C9&lt;=0,J9,J9/(C9*12)))</f>
        <v/>
      </c>
    </row>
    <row r="10">
      <c r="A10" s="12" t="inlineStr">
        <is>
          <t>Rent (amount agreed with landlord)</t>
        </is>
      </c>
      <c r="B10" s="12" t="inlineStr">
        <is>
          <t>Within 1 year</t>
        </is>
      </c>
      <c r="C10" s="13" t="n">
        <v>0.67</v>
      </c>
      <c r="D10" s="12" t="n">
        <v>2</v>
      </c>
      <c r="E10" s="10" t="n">
        <v>600000</v>
      </c>
      <c r="F10" s="14" t="inlineStr">
        <is>
          <t>Yes</t>
        </is>
      </c>
      <c r="G10" s="10" t="n">
        <v>0</v>
      </c>
      <c r="H10" s="10" t="n">
        <v>120000</v>
      </c>
      <c r="I10" s="15">
        <f>IF(E10="","",IF(F10="Yes",E10+G10,(E10*(1+$C$4)^C10+G10)*(1+$C$5)))</f>
        <v/>
      </c>
      <c r="J10" s="15">
        <f>IF(I10="","",MAX(0,I10-H10))</f>
        <v/>
      </c>
      <c r="K10" s="16">
        <f>IF(OR(J10="",C10=""),"",IF(C10&lt;=0,J10,J10/(C10*12)))</f>
        <v/>
      </c>
    </row>
    <row r="11">
      <c r="A11" s="12" t="inlineStr">
        <is>
          <t>Sewing machines for the business</t>
        </is>
      </c>
      <c r="B11" s="12" t="inlineStr">
        <is>
          <t>1–5 years</t>
        </is>
      </c>
      <c r="C11" s="13" t="n">
        <v>2</v>
      </c>
      <c r="D11" s="12" t="n">
        <v>3</v>
      </c>
      <c r="E11" s="10" t="n">
        <v>900000</v>
      </c>
      <c r="F11" s="14" t="inlineStr">
        <is>
          <t>No</t>
        </is>
      </c>
      <c r="G11" s="10" t="n">
        <v>60000</v>
      </c>
      <c r="H11" s="10" t="n">
        <v>200000</v>
      </c>
      <c r="I11" s="15">
        <f>IF(E11="","",IF(F11="Yes",E11+G11,(E11*(1+$C$4)^C11+G11)*(1+$C$5)))</f>
        <v/>
      </c>
      <c r="J11" s="15">
        <f>IF(I11="","",MAX(0,I11-H11))</f>
        <v/>
      </c>
      <c r="K11" s="16">
        <f>IF(OR(J11="",C11=""),"",IF(C11&lt;=0,J11,J11/(C11*12)))</f>
        <v/>
      </c>
    </row>
    <row r="12">
      <c r="A12" s="12" t="inlineStr">
        <is>
          <t>Land deposit</t>
        </is>
      </c>
      <c r="B12" s="12" t="inlineStr">
        <is>
          <t>5–10 years</t>
        </is>
      </c>
      <c r="C12" s="13" t="n">
        <v>5</v>
      </c>
      <c r="D12" s="12" t="n">
        <v>4</v>
      </c>
      <c r="E12" s="10" t="n">
        <v>3000000</v>
      </c>
      <c r="F12" s="14" t="inlineStr">
        <is>
          <t>No</t>
        </is>
      </c>
      <c r="G12" s="10" t="n">
        <v>250000</v>
      </c>
      <c r="H12" s="10" t="n">
        <v>0</v>
      </c>
      <c r="I12" s="15">
        <f>IF(E12="","",IF(F12="Yes",E12+G12,(E12*(1+$C$4)^C12+G12)*(1+$C$5)))</f>
        <v/>
      </c>
      <c r="J12" s="15">
        <f>IF(I12="","",MAX(0,I12-H12))</f>
        <v/>
      </c>
      <c r="K12" s="16">
        <f>IF(OR(J12="",C12=""),"",IF(C12&lt;=0,J12,J12/(C12*12)))</f>
        <v/>
      </c>
    </row>
    <row r="13">
      <c r="A13" s="12" t="inlineStr">
        <is>
          <t>Children's university (first year)</t>
        </is>
      </c>
      <c r="B13" s="12" t="inlineStr">
        <is>
          <t>10–20 years</t>
        </is>
      </c>
      <c r="C13" s="13" t="n">
        <v>12</v>
      </c>
      <c r="D13" s="12" t="n">
        <v>5</v>
      </c>
      <c r="E13" s="10" t="n">
        <v>1000000</v>
      </c>
      <c r="F13" s="14" t="inlineStr">
        <is>
          <t>No</t>
        </is>
      </c>
      <c r="G13" s="10" t="n">
        <v>0</v>
      </c>
      <c r="H13" s="10" t="n">
        <v>0</v>
      </c>
      <c r="I13" s="15">
        <f>IF(E13="","",IF(F13="Yes",E13+G13,(E13*(1+$C$4)^C13+G13)*(1+$C$5)))</f>
        <v/>
      </c>
      <c r="J13" s="15">
        <f>IF(I13="","",MAX(0,I13-H13))</f>
        <v/>
      </c>
      <c r="K13" s="16">
        <f>IF(OR(J13="",C13=""),"",IF(C13&lt;=0,J13,J13/(C13*12)))</f>
        <v/>
      </c>
    </row>
    <row r="14">
      <c r="A14" s="12" t="n"/>
      <c r="B14" s="12" t="n"/>
      <c r="C14" s="13" t="n"/>
      <c r="D14" s="12" t="n"/>
      <c r="E14" s="10" t="n"/>
      <c r="F14" s="14" t="n"/>
      <c r="G14" s="10" t="n"/>
      <c r="H14" s="10" t="n"/>
      <c r="I14" s="15">
        <f>IF(E14="","",IF(F14="Yes",E14+G14,(E14*(1+$C$4)^C14+G14)*(1+$C$5)))</f>
        <v/>
      </c>
      <c r="J14" s="15">
        <f>IF(I14="","",MAX(0,I14-H14))</f>
        <v/>
      </c>
      <c r="K14" s="16">
        <f>IF(OR(J14="",C14=""),"",IF(C14&lt;=0,J14,J14/(C14*12)))</f>
        <v/>
      </c>
    </row>
    <row r="15">
      <c r="A15" s="12" t="n"/>
      <c r="B15" s="12" t="n"/>
      <c r="C15" s="13" t="n"/>
      <c r="D15" s="12" t="n"/>
      <c r="E15" s="10" t="n"/>
      <c r="F15" s="14" t="n"/>
      <c r="G15" s="10" t="n"/>
      <c r="H15" s="10" t="n"/>
      <c r="I15" s="15">
        <f>IF(E15="","",IF(F15="Yes",E15+G15,(E15*(1+$C$4)^C15+G15)*(1+$C$5)))</f>
        <v/>
      </c>
      <c r="J15" s="15">
        <f>IF(I15="","",MAX(0,I15-H15))</f>
        <v/>
      </c>
      <c r="K15" s="16">
        <f>IF(OR(J15="",C15=""),"",IF(C15&lt;=0,J15,J15/(C15*12)))</f>
        <v/>
      </c>
    </row>
    <row r="16">
      <c r="A16" s="12" t="n"/>
      <c r="B16" s="12" t="n"/>
      <c r="C16" s="13" t="n"/>
      <c r="D16" s="12" t="n"/>
      <c r="E16" s="10" t="n"/>
      <c r="F16" s="14" t="n"/>
      <c r="G16" s="10" t="n"/>
      <c r="H16" s="10" t="n"/>
      <c r="I16" s="15">
        <f>IF(E16="","",IF(F16="Yes",E16+G16,(E16*(1+$C$4)^C16+G16)*(1+$C$5)))</f>
        <v/>
      </c>
      <c r="J16" s="15">
        <f>IF(I16="","",MAX(0,I16-H16))</f>
        <v/>
      </c>
      <c r="K16" s="16">
        <f>IF(OR(J16="",C16=""),"",IF(C16&lt;=0,J16,J16/(C16*12)))</f>
        <v/>
      </c>
    </row>
    <row r="17">
      <c r="A17" s="12" t="n"/>
      <c r="B17" s="12" t="n"/>
      <c r="C17" s="13" t="n"/>
      <c r="D17" s="12" t="n"/>
      <c r="E17" s="10" t="n"/>
      <c r="F17" s="14" t="n"/>
      <c r="G17" s="10" t="n"/>
      <c r="H17" s="10" t="n"/>
      <c r="I17" s="15">
        <f>IF(E17="","",IF(F17="Yes",E17+G17,(E17*(1+$C$4)^C17+G17)*(1+$C$5)))</f>
        <v/>
      </c>
      <c r="J17" s="15">
        <f>IF(I17="","",MAX(0,I17-H17))</f>
        <v/>
      </c>
      <c r="K17" s="16">
        <f>IF(OR(J17="",C17=""),"",IF(C17&lt;=0,J17,J17/(C17*12)))</f>
        <v/>
      </c>
    </row>
    <row r="18">
      <c r="A18" s="12" t="n"/>
      <c r="B18" s="12" t="n"/>
      <c r="C18" s="13" t="n"/>
      <c r="D18" s="12" t="n"/>
      <c r="E18" s="10" t="n"/>
      <c r="F18" s="14" t="n"/>
      <c r="G18" s="10" t="n"/>
      <c r="H18" s="10" t="n"/>
      <c r="I18" s="15">
        <f>IF(E18="","",IF(F18="Yes",E18+G18,(E18*(1+$C$4)^C18+G18)*(1+$C$5)))</f>
        <v/>
      </c>
      <c r="J18" s="15">
        <f>IF(I18="","",MAX(0,I18-H18))</f>
        <v/>
      </c>
      <c r="K18" s="16">
        <f>IF(OR(J18="",C18=""),"",IF(C18&lt;=0,J18,J18/(C18*12)))</f>
        <v/>
      </c>
    </row>
    <row r="19">
      <c r="A19" s="12" t="n"/>
      <c r="B19" s="12" t="n"/>
      <c r="C19" s="13" t="n"/>
      <c r="D19" s="12" t="n"/>
      <c r="E19" s="10" t="n"/>
      <c r="F19" s="14" t="n"/>
      <c r="G19" s="10" t="n"/>
      <c r="H19" s="10" t="n"/>
      <c r="I19" s="15">
        <f>IF(E19="","",IF(F19="Yes",E19+G19,(E19*(1+$C$4)^C19+G19)*(1+$C$5)))</f>
        <v/>
      </c>
      <c r="J19" s="15">
        <f>IF(I19="","",MAX(0,I19-H19))</f>
        <v/>
      </c>
      <c r="K19" s="16">
        <f>IF(OR(J19="",C19=""),"",IF(C19&lt;=0,J19,J19/(C19*12)))</f>
        <v/>
      </c>
    </row>
    <row r="20">
      <c r="A20" s="12" t="n"/>
      <c r="B20" s="12" t="n"/>
      <c r="C20" s="13" t="n"/>
      <c r="D20" s="12" t="n"/>
      <c r="E20" s="10" t="n"/>
      <c r="F20" s="14" t="n"/>
      <c r="G20" s="10" t="n"/>
      <c r="H20" s="10" t="n"/>
      <c r="I20" s="15">
        <f>IF(E20="","",IF(F20="Yes",E20+G20,(E20*(1+$C$4)^C20+G20)*(1+$C$5)))</f>
        <v/>
      </c>
      <c r="J20" s="15">
        <f>IF(I20="","",MAX(0,I20-H20))</f>
        <v/>
      </c>
      <c r="K20" s="16">
        <f>IF(OR(J20="",C20=""),"",IF(C20&lt;=0,J20,J20/(C20*12)))</f>
        <v/>
      </c>
    </row>
    <row r="22">
      <c r="A22" s="17" t="inlineStr">
        <is>
          <t>Total needed each month for all goals</t>
        </is>
      </c>
      <c r="B22" s="18" t="n"/>
      <c r="C22" s="18" t="n"/>
      <c r="D22" s="18" t="n"/>
      <c r="E22" s="18" t="n"/>
      <c r="F22" s="18" t="n"/>
      <c r="G22" s="18" t="n"/>
      <c r="H22" s="18" t="n"/>
      <c r="I22" s="18" t="n"/>
      <c r="J22" s="18" t="n"/>
      <c r="K22" s="19">
        <f>SUM(K9:K20)</f>
        <v/>
      </c>
    </row>
    <row r="23">
      <c r="A23" s="17" t="inlineStr">
        <is>
          <t>Can I afford all of them?</t>
        </is>
      </c>
      <c r="B23" s="20" t="inlineStr">
        <is>
          <t>If "Not yet": give each goal a priority, fund the top ones first, move a date later, or start smaller.</t>
        </is>
      </c>
      <c r="C23" s="18" t="n"/>
      <c r="D23" s="18" t="n"/>
      <c r="E23" s="18" t="n"/>
      <c r="F23" s="18" t="n"/>
      <c r="G23" s="18" t="n"/>
      <c r="H23" s="18" t="n"/>
      <c r="I23" s="18" t="n"/>
      <c r="J23" s="18" t="n"/>
      <c r="K23" s="17">
        <f>IF($C$6="","Fill in C6",IF(K22&lt;=$C$6,"Yes","Not yet"))</f>
        <v/>
      </c>
    </row>
    <row r="25">
      <c r="A25" s="9" t="inlineStr">
        <is>
          <t>Prices are estimates: they assume prices rise by the same % every year. Check them once a year and update.</t>
        </is>
      </c>
    </row>
    <row r="26">
      <c r="A26" s="21" t="inlineStr">
        <is>
          <t>Free from the Financial Intelligence class · kopkad.ng/blog. For educational purposes only. This is not financial advice.</t>
        </is>
      </c>
    </row>
    <row r="27">
      <c r="A27" s="22" t="inlineStr">
        <is>
          <t>With Snowball, we keep it rolling.</t>
        </is>
      </c>
    </row>
  </sheetData>
  <dataValidations count="2">
    <dataValidation sqref="B9 B10 B11 B12 B13 B14 B15 B16 B17 B18 B19 B20" showDropDown="0" showInputMessage="0" showErrorMessage="0" allowBlank="1" type="list">
      <formula1>"Within 1 year,1–5 years,5–10 years,10–20 years,20+ years"</formula1>
    </dataValidation>
    <dataValidation sqref="F9 F10 F11 F12 F13 F14 F15 F16 F17 F18 F19 F20"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2026-10-29T16:27:04Z</dcterms:created>
  <dcterms:modified xmlns:dcterms="http://purl.org/dc/terms/" xmlns:xsi="http://www.w3.org/2001/XMLSchema-instance" xsi:type="dcterms:W3CDTF">2026-10-29T16:27:04Z</dcterms:modified>
</cp:coreProperties>
</file>