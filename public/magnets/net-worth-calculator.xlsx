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worth" sheetId="1" state="visible" r:id="rId1"/>
    <sheet xmlns:r="http://schemas.openxmlformats.org/officeDocument/2006/relationships" name="Quarterly 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₦&quot;#,##0;[Red]-&quot;₦&quot;#,##0"/>
  </numFmts>
  <fonts count="11">
    <font>
      <name val="Calibri"/>
      <family val="2"/>
      <color theme="1"/>
      <sz val="11"/>
      <scheme val="minor"/>
    </font>
    <font>
      <b val="1"/>
      <color rgb="0010302A"/>
      <sz val="18"/>
    </font>
    <font>
      <i val="1"/>
      <color rgb="004C6A62"/>
    </font>
    <font>
      <b val="1"/>
      <color rgb="00FFFFFF"/>
      <sz val="12"/>
    </font>
    <font>
      <color rgb="004C6A62"/>
    </font>
    <font>
      <b val="1"/>
    </font>
    <font>
      <b val="1"/>
      <sz val="13"/>
    </font>
    <font>
      <b val="1"/>
      <color rgb="00D9822B"/>
      <sz val="13"/>
    </font>
    <font>
      <i val="1"/>
    </font>
    <font>
      <color rgb="004C6A62"/>
      <sz val="9"/>
    </font>
    <font>
      <b val="1"/>
      <color rgb="00D9822B"/>
      <sz val="10"/>
    </font>
  </fonts>
  <fills count="5">
    <fill>
      <patternFill/>
    </fill>
    <fill>
      <patternFill patternType="gray125"/>
    </fill>
    <fill>
      <patternFill patternType="solid">
        <fgColor rgb="0010302A"/>
      </patternFill>
    </fill>
    <fill>
      <patternFill patternType="solid">
        <fgColor rgb="00FFF4CC"/>
      </patternFill>
    </fill>
    <fill>
      <patternFill patternType="solid">
        <fgColor rgb="00EE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4" borderId="0" pivotButton="0" quotePrefix="0" xfId="0"/>
    <xf numFmtId="164" fontId="7" fillId="4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history'!D4</f>
            </strRef>
          </tx>
          <spPr>
            <a:ln xmlns:a="http://schemas.openxmlformats.org/drawingml/2006/main" w="28000">
              <a:solidFill>
                <a:srgbClr val="D982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history'!$A$5:$A$13</f>
            </numRef>
          </cat>
          <val>
            <numRef>
              <f>'Quarterly history'!$D$5:$D$13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₦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52" customWidth="1" min="4" max="4"/>
  </cols>
  <sheetData>
    <row r="1">
      <c r="A1" s="1" t="inlineStr">
        <is>
          <t>Your Net Worth</t>
        </is>
      </c>
    </row>
    <row r="2">
      <c r="A2" s="2" t="inlineStr">
        <is>
          <t>What you own − what you owe. Replace the example numbers in the yellow cells with yours, at today's value.</t>
        </is>
      </c>
    </row>
    <row r="4">
      <c r="A4" s="3" t="inlineStr">
        <is>
          <t>1. What you own (assets)</t>
        </is>
      </c>
      <c r="B4" s="3" t="inlineStr">
        <is>
          <t>Amount</t>
        </is>
      </c>
      <c r="C4" s="3" t="inlineStr">
        <is>
          <t>Pays you?</t>
        </is>
      </c>
      <c r="D4" s="3" t="inlineStr">
        <is>
          <t>Note</t>
        </is>
      </c>
    </row>
    <row r="5">
      <c r="A5" t="inlineStr">
        <is>
          <t>Cash in bank and mobile money</t>
        </is>
      </c>
      <c r="B5" s="4" t="n">
        <v>70000</v>
      </c>
      <c r="C5" s="5" t="inlineStr">
        <is>
          <t>No</t>
        </is>
      </c>
      <c r="D5" s="6" t="inlineStr"/>
    </row>
    <row r="6">
      <c r="A6" t="inlineStr">
        <is>
          <t>Savings plans, ajo or cooperative savings</t>
        </is>
      </c>
      <c r="B6" s="4" t="n">
        <v>350000</v>
      </c>
      <c r="C6" s="5" t="inlineStr">
        <is>
          <t>Yes</t>
        </is>
      </c>
      <c r="D6" s="6" t="inlineStr">
        <is>
          <t>What you will get back</t>
        </is>
      </c>
    </row>
    <row r="7">
      <c r="A7" t="inlineStr">
        <is>
          <t>Pension (Retirement Savings Account)</t>
        </is>
      </c>
      <c r="B7" s="4" t="n">
        <v>380000</v>
      </c>
      <c r="C7" s="5" t="inlineStr">
        <is>
          <t>Yes</t>
        </is>
      </c>
      <c r="D7" s="6" t="inlineStr">
        <is>
          <t>From your PFA statement or app</t>
        </is>
      </c>
    </row>
    <row r="8">
      <c r="A8" t="inlineStr">
        <is>
          <t>Investments (T-bills, fixed deposits, shares, funds)</t>
        </is>
      </c>
      <c r="B8" s="4" t="n">
        <v>0</v>
      </c>
      <c r="C8" s="5" t="inlineStr">
        <is>
          <t>Yes</t>
        </is>
      </c>
      <c r="D8" s="6" t="inlineStr"/>
    </row>
    <row r="9">
      <c r="A9" t="inlineStr">
        <is>
          <t>Land or property</t>
        </is>
      </c>
      <c r="B9" s="4" t="n">
        <v>0</v>
      </c>
      <c r="C9" s="5" t="inlineStr"/>
      <c r="D9" s="6" t="inlineStr">
        <is>
          <t>Use the price you paid, not a hopeful value</t>
        </is>
      </c>
    </row>
    <row r="10">
      <c r="A10" t="inlineStr">
        <is>
          <t>Business stock and equipment</t>
        </is>
      </c>
      <c r="B10" s="4" t="n">
        <v>0</v>
      </c>
      <c r="C10" s="5" t="inlineStr">
        <is>
          <t>Yes</t>
        </is>
      </c>
      <c r="D10" s="6" t="inlineStr">
        <is>
          <t>Only if you use it to earn</t>
        </is>
      </c>
    </row>
    <row r="11">
      <c r="A11" t="inlineStr">
        <is>
          <t>Car or motorbike</t>
        </is>
      </c>
      <c r="B11" s="4" t="n">
        <v>0</v>
      </c>
      <c r="C11" s="5" t="inlineStr"/>
      <c r="D11" s="6" t="inlineStr">
        <is>
          <t>What it would sell for today. "Yes" only if it earns for you</t>
        </is>
      </c>
    </row>
    <row r="12">
      <c r="A12" t="inlineStr">
        <is>
          <t>Phone, laptop and other valuables</t>
        </is>
      </c>
      <c r="B12" s="4" t="n">
        <v>150000</v>
      </c>
      <c r="C12" s="5" t="inlineStr">
        <is>
          <t>No</t>
        </is>
      </c>
      <c r="D12" s="6" t="inlineStr">
        <is>
          <t>What they would sell for today</t>
        </is>
      </c>
    </row>
    <row r="13">
      <c r="A13" t="inlineStr">
        <is>
          <t>Money owed to you</t>
        </is>
      </c>
      <c r="B13" s="4" t="n">
        <v>0</v>
      </c>
      <c r="C13" s="5" t="inlineStr"/>
      <c r="D13" s="6" t="inlineStr">
        <is>
          <t>Only what you really expect to get back</t>
        </is>
      </c>
    </row>
    <row r="14">
      <c r="A14" s="7" t="inlineStr">
        <is>
          <t>Total assets</t>
        </is>
      </c>
      <c r="B14" s="8">
        <f>SUM(B5:B13)</f>
        <v/>
      </c>
    </row>
    <row r="15">
      <c r="A15" s="7" t="inlineStr">
        <is>
          <t>Assets that pay you</t>
        </is>
      </c>
      <c r="B15" s="8">
        <f>SUMIF(C5:C13,"Yes",B5:B13)</f>
        <v/>
      </c>
      <c r="D15" s="6" t="inlineStr">
        <is>
          <t>Savings, pension, investments, tools you earn with: the part of your wealth that works for you</t>
        </is>
      </c>
    </row>
    <row r="17">
      <c r="A17" s="3" t="inlineStr">
        <is>
          <t>2. What you owe (liabilities)</t>
        </is>
      </c>
      <c r="B17" s="3" t="inlineStr">
        <is>
          <t>Amount</t>
        </is>
      </c>
      <c r="C17" s="3" t="inlineStr"/>
      <c r="D17" s="3" t="inlineStr">
        <is>
          <t>Note</t>
        </is>
      </c>
    </row>
    <row r="18">
      <c r="A18" t="inlineStr">
        <is>
          <t>Bank loans</t>
        </is>
      </c>
      <c r="B18" s="4" t="n">
        <v>100000</v>
      </c>
      <c r="D18" s="6" t="inlineStr">
        <is>
          <t>Balance left, not the original amount</t>
        </is>
      </c>
    </row>
    <row r="19">
      <c r="A19" t="inlineStr">
        <is>
          <t>Loan apps</t>
        </is>
      </c>
      <c r="B19" s="4" t="n">
        <v>0</v>
      </c>
      <c r="D19" s="6" t="inlineStr"/>
    </row>
    <row r="20">
      <c r="A20" t="inlineStr">
        <is>
          <t>Buy now, pay later / instalments</t>
        </is>
      </c>
      <c r="B20" s="4" t="n">
        <v>0</v>
      </c>
      <c r="D20" s="6" t="inlineStr">
        <is>
          <t>Phones, appliances, furniture</t>
        </is>
      </c>
    </row>
    <row r="21">
      <c r="A21" t="inlineStr">
        <is>
          <t>Salary advances</t>
        </is>
      </c>
      <c r="B21" s="4" t="n">
        <v>0</v>
      </c>
      <c r="D21" s="6" t="inlineStr"/>
    </row>
    <row r="22">
      <c r="A22" t="inlineStr">
        <is>
          <t>Credit from traders or suppliers</t>
        </is>
      </c>
      <c r="B22" s="4" t="n">
        <v>0</v>
      </c>
      <c r="D22" s="6" t="inlineStr"/>
    </row>
    <row r="23">
      <c r="A23" t="inlineStr">
        <is>
          <t>Money owed to family or friends</t>
        </is>
      </c>
      <c r="B23" s="4" t="n">
        <v>0</v>
      </c>
      <c r="D23" s="6" t="inlineStr">
        <is>
          <t>Count it, even with no interest</t>
        </is>
      </c>
    </row>
    <row r="24">
      <c r="A24" t="inlineStr">
        <is>
          <t>Unpaid bills (school fees, rent arrears, utilities)</t>
        </is>
      </c>
      <c r="B24" s="4" t="n">
        <v>0</v>
      </c>
      <c r="D24" s="6" t="inlineStr"/>
    </row>
    <row r="25">
      <c r="A25" t="inlineStr">
        <is>
          <t>Other debts</t>
        </is>
      </c>
      <c r="B25" s="4" t="n">
        <v>0</v>
      </c>
      <c r="D25" s="6" t="inlineStr"/>
    </row>
    <row r="26">
      <c r="A26" s="7" t="inlineStr">
        <is>
          <t>Total liabilities</t>
        </is>
      </c>
      <c r="B26" s="8">
        <f>SUM(B18:B25)</f>
        <v/>
      </c>
    </row>
    <row r="28">
      <c r="A28" s="3" t="inlineStr">
        <is>
          <t>3. Your net worth</t>
        </is>
      </c>
      <c r="B28" s="3" t="inlineStr"/>
      <c r="C28" s="3" t="inlineStr"/>
      <c r="D28" s="3" t="inlineStr"/>
    </row>
    <row r="29">
      <c r="A29" s="9" t="inlineStr">
        <is>
          <t>Net worth (assets − liabilities)</t>
        </is>
      </c>
      <c r="B29" s="10">
        <f>B14-B26</f>
        <v/>
      </c>
      <c r="C29" s="11" t="n"/>
      <c r="D29" s="12" t="inlineStr">
        <is>
          <t>Negative is common, and it is a starting point, not a verdict. Watch the direction.</t>
        </is>
      </c>
    </row>
    <row r="31">
      <c r="A31" s="13" t="inlineStr">
        <is>
          <t>Next: copy your totals into the "Quarterly history" tab every 3 months (end of March, June, September, December).</t>
        </is>
      </c>
    </row>
    <row r="33">
      <c r="A33" s="14" t="inlineStr">
        <is>
          <t>Free from the Financial Intelligence class · kopkad.ng/blog</t>
        </is>
      </c>
    </row>
    <row r="34">
      <c r="A34" s="14" t="inlineStr">
        <is>
          <t>For educational purposes only. This is not financial advice.</t>
        </is>
      </c>
    </row>
    <row r="35">
      <c r="A35" s="15" t="inlineStr">
        <is>
          <t>With Snowball, we keep it rolling.</t>
        </is>
      </c>
    </row>
  </sheetData>
  <dataValidations count="1">
    <dataValidation sqref="C5 C6 C7 C8 C9 C10 C11 C12 C1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Your net worth, every quarter</t>
        </is>
      </c>
    </row>
    <row r="2">
      <c r="A2" s="2" t="inlineStr">
        <is>
          <t>Twenty minutes, four times a year. Type your totals in the yellow cells; the rest works itself out.</t>
        </is>
      </c>
    </row>
    <row r="4">
      <c r="A4" s="3" t="inlineStr">
        <is>
          <t>Quarter</t>
        </is>
      </c>
      <c r="B4" s="3" t="inlineStr">
        <is>
          <t>Total assets</t>
        </is>
      </c>
      <c r="C4" s="3" t="inlineStr">
        <is>
          <t>Total liabilities</t>
        </is>
      </c>
      <c r="D4" s="3" t="inlineStr">
        <is>
          <t>Net worth</t>
        </is>
      </c>
      <c r="E4" s="3" t="inlineStr">
        <is>
          <t>Change</t>
        </is>
      </c>
    </row>
    <row r="5">
      <c r="A5" s="7" t="inlineStr">
        <is>
          <t>Dec 2026</t>
        </is>
      </c>
      <c r="B5" s="4">
        <f>'Net worth'!B14</f>
        <v/>
      </c>
      <c r="C5" s="4">
        <f>'Net worth'!B26</f>
        <v/>
      </c>
      <c r="D5" s="8">
        <f>IF(AND(B5="",C5=""),"",B5-C5)</f>
        <v/>
      </c>
      <c r="E5" s="16" t="inlineStr"/>
    </row>
    <row r="6">
      <c r="A6" s="7" t="inlineStr">
        <is>
          <t>Mar 2027</t>
        </is>
      </c>
      <c r="B6" s="4" t="n"/>
      <c r="C6" s="4" t="n"/>
      <c r="D6" s="8">
        <f>IF(AND(B6="",C6=""),"",B6-C6)</f>
        <v/>
      </c>
      <c r="E6" s="16">
        <f>IF(OR(D6="",D5=""),"",D6-D5)</f>
        <v/>
      </c>
    </row>
    <row r="7">
      <c r="A7" s="7" t="inlineStr">
        <is>
          <t>Jun 2027</t>
        </is>
      </c>
      <c r="B7" s="4" t="n"/>
      <c r="C7" s="4" t="n"/>
      <c r="D7" s="8">
        <f>IF(AND(B7="",C7=""),"",B7-C7)</f>
        <v/>
      </c>
      <c r="E7" s="16">
        <f>IF(OR(D7="",D6=""),"",D7-D6)</f>
        <v/>
      </c>
    </row>
    <row r="8">
      <c r="A8" s="7" t="inlineStr">
        <is>
          <t>Sep 2027</t>
        </is>
      </c>
      <c r="B8" s="4" t="n"/>
      <c r="C8" s="4" t="n"/>
      <c r="D8" s="8">
        <f>IF(AND(B8="",C8=""),"",B8-C8)</f>
        <v/>
      </c>
      <c r="E8" s="16">
        <f>IF(OR(D8="",D7=""),"",D8-D7)</f>
        <v/>
      </c>
    </row>
    <row r="9">
      <c r="A9" s="7" t="inlineStr">
        <is>
          <t>Dec 2027</t>
        </is>
      </c>
      <c r="B9" s="4" t="n"/>
      <c r="C9" s="4" t="n"/>
      <c r="D9" s="8">
        <f>IF(AND(B9="",C9=""),"",B9-C9)</f>
        <v/>
      </c>
      <c r="E9" s="16">
        <f>IF(OR(D9="",D8=""),"",D9-D8)</f>
        <v/>
      </c>
    </row>
    <row r="10">
      <c r="A10" s="7" t="inlineStr">
        <is>
          <t>Mar 2028</t>
        </is>
      </c>
      <c r="B10" s="4" t="n"/>
      <c r="C10" s="4" t="n"/>
      <c r="D10" s="8">
        <f>IF(AND(B10="",C10=""),"",B10-C10)</f>
        <v/>
      </c>
      <c r="E10" s="16">
        <f>IF(OR(D10="",D9=""),"",D10-D9)</f>
        <v/>
      </c>
    </row>
    <row r="11">
      <c r="A11" s="7" t="inlineStr">
        <is>
          <t>Jun 2028</t>
        </is>
      </c>
      <c r="B11" s="4" t="n"/>
      <c r="C11" s="4" t="n"/>
      <c r="D11" s="8">
        <f>IF(AND(B11="",C11=""),"",B11-C11)</f>
        <v/>
      </c>
      <c r="E11" s="16">
        <f>IF(OR(D11="",D10=""),"",D11-D10)</f>
        <v/>
      </c>
    </row>
    <row r="12">
      <c r="A12" s="7" t="inlineStr">
        <is>
          <t>Sep 2028</t>
        </is>
      </c>
      <c r="B12" s="4" t="n"/>
      <c r="C12" s="4" t="n"/>
      <c r="D12" s="8">
        <f>IF(AND(B12="",C12=""),"",B12-C12)</f>
        <v/>
      </c>
      <c r="E12" s="16">
        <f>IF(OR(D12="",D11=""),"",D12-D11)</f>
        <v/>
      </c>
    </row>
    <row r="13">
      <c r="A13" s="7" t="inlineStr">
        <is>
          <t>Dec 2028</t>
        </is>
      </c>
      <c r="B13" s="4" t="n"/>
      <c r="C13" s="4" t="n"/>
      <c r="D13" s="8">
        <f>IF(AND(B13="",C13=""),"",B13-C13)</f>
        <v/>
      </c>
      <c r="E13" s="16">
        <f>IF(OR(D13="",D12=""),"",D13-D12)</f>
        <v/>
      </c>
    </row>
    <row r="15">
      <c r="A15" s="2" t="inlineStr">
        <is>
          <t>The first row reads today's totals from the "Net worth" tab. From next quarter, type the new totals in.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2026-10-29T16:11:16Z</dcterms:created>
  <dcterms:modified xmlns:dcterms="http://purl.org/dc/terms/" xmlns:xsi="http://www.w3.org/2001/XMLSchema-instance" xsi:type="dcterms:W3CDTF">2026-10-29T16:11:16Z</dcterms:modified>
</cp:coreProperties>
</file>